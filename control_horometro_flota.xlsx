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FP Candelaria2\Desktop\"/>
    </mc:Choice>
  </mc:AlternateContent>
  <xr:revisionPtr revIDLastSave="0" documentId="13_ncr:1_{E55390B3-BE14-4456-AD10-7BC8A46B367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gistro_Diario" sheetId="1" r:id="rId1"/>
    <sheet name="Hoja2" sheetId="8" r:id="rId2"/>
    <sheet name="Tabla Resume" sheetId="9" r:id="rId3"/>
    <sheet name="Consumo Adblue" sheetId="12" r:id="rId4"/>
    <sheet name="Pivot_Equipos" sheetId="5" r:id="rId5"/>
    <sheet name="Listado de Operadores" sheetId="14" r:id="rId6"/>
    <sheet name="Hoja1" sheetId="16" r:id="rId7"/>
    <sheet name="Registro" sheetId="15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4" l="1"/>
  <c r="H29" i="14"/>
  <c r="H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8" i="14"/>
  <c r="H32" i="14"/>
  <c r="H33" i="14"/>
  <c r="H34" i="14"/>
  <c r="H35" i="14"/>
  <c r="B5" i="9" l="1"/>
  <c r="E52" i="1"/>
  <c r="E53" i="1"/>
  <c r="E54" i="1"/>
  <c r="E55" i="1"/>
  <c r="E56" i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E101" i="1"/>
  <c r="F101" i="1" s="1"/>
  <c r="E102" i="1"/>
  <c r="F102" i="1" s="1"/>
  <c r="E103" i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E175" i="1"/>
  <c r="F175" i="1" s="1"/>
  <c r="E176" i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E329" i="1"/>
  <c r="F329" i="1" s="1"/>
  <c r="E330" i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E355" i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E369" i="1"/>
  <c r="E370" i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E413" i="1"/>
  <c r="F413" i="1" s="1"/>
  <c r="E414" i="1"/>
  <c r="E415" i="1"/>
  <c r="F415" i="1" s="1"/>
  <c r="E416" i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E475" i="1"/>
  <c r="E476" i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E525" i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E571" i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E629" i="1"/>
  <c r="F629" i="1" s="1"/>
  <c r="E630" i="1"/>
  <c r="F630" i="1" s="1"/>
  <c r="E631" i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E642" i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E691" i="1"/>
  <c r="F691" i="1" s="1"/>
  <c r="E692" i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E797" i="1"/>
  <c r="F797" i="1" s="1"/>
  <c r="E798" i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E833" i="1"/>
  <c r="F833" i="1" s="1"/>
  <c r="E834" i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E931" i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13" i="1"/>
  <c r="F13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14" i="1"/>
  <c r="F14" i="1" s="1"/>
  <c r="J31" i="1"/>
  <c r="J32" i="1"/>
  <c r="J33" i="1"/>
  <c r="J34" i="1"/>
  <c r="J35" i="1"/>
  <c r="J36" i="1"/>
  <c r="J37" i="1"/>
  <c r="J38" i="1"/>
  <c r="J39" i="1"/>
  <c r="J40" i="1"/>
  <c r="J41" i="1"/>
  <c r="J42" i="1"/>
  <c r="J25" i="1"/>
  <c r="J24" i="1"/>
  <c r="J23" i="1"/>
  <c r="J22" i="1"/>
  <c r="I6" i="9"/>
  <c r="I5" i="9"/>
  <c r="I4" i="9"/>
  <c r="I7" i="9"/>
  <c r="Q7" i="9"/>
  <c r="Q6" i="9"/>
  <c r="Q4" i="9"/>
  <c r="F52" i="1"/>
  <c r="F53" i="1"/>
  <c r="F54" i="1"/>
  <c r="F55" i="1"/>
  <c r="F56" i="1"/>
  <c r="F68" i="1"/>
  <c r="F90" i="1"/>
  <c r="F100" i="1"/>
  <c r="F103" i="1"/>
  <c r="F114" i="1"/>
  <c r="F160" i="1"/>
  <c r="F174" i="1"/>
  <c r="F176" i="1"/>
  <c r="F210" i="1"/>
  <c r="F220" i="1"/>
  <c r="F246" i="1"/>
  <c r="F256" i="1"/>
  <c r="F282" i="1"/>
  <c r="F292" i="1"/>
  <c r="F319" i="1"/>
  <c r="F328" i="1"/>
  <c r="F330" i="1"/>
  <c r="F354" i="1"/>
  <c r="F355" i="1"/>
  <c r="F368" i="1"/>
  <c r="F369" i="1"/>
  <c r="F370" i="1"/>
  <c r="F376" i="1"/>
  <c r="F412" i="1"/>
  <c r="F414" i="1"/>
  <c r="F416" i="1"/>
  <c r="F426" i="1"/>
  <c r="F438" i="1"/>
  <c r="F474" i="1"/>
  <c r="F475" i="1"/>
  <c r="F476" i="1"/>
  <c r="F498" i="1"/>
  <c r="F508" i="1"/>
  <c r="F524" i="1"/>
  <c r="F525" i="1"/>
  <c r="F532" i="1"/>
  <c r="F544" i="1"/>
  <c r="F570" i="1"/>
  <c r="F571" i="1"/>
  <c r="F595" i="1"/>
  <c r="F628" i="1"/>
  <c r="F631" i="1"/>
  <c r="F641" i="1"/>
  <c r="F642" i="1"/>
  <c r="F690" i="1"/>
  <c r="F692" i="1"/>
  <c r="F714" i="1"/>
  <c r="F762" i="1"/>
  <c r="F796" i="1"/>
  <c r="F798" i="1"/>
  <c r="F832" i="1"/>
  <c r="F834" i="1"/>
  <c r="F870" i="1"/>
  <c r="F880" i="1"/>
  <c r="F930" i="1"/>
  <c r="F931" i="1"/>
  <c r="F991" i="1"/>
  <c r="F1000" i="1"/>
  <c r="J30" i="1"/>
  <c r="J29" i="1"/>
  <c r="J28" i="1"/>
  <c r="J27" i="1"/>
  <c r="J26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L5" i="9"/>
</calcChain>
</file>

<file path=xl/sharedStrings.xml><?xml version="1.0" encoding="utf-8"?>
<sst xmlns="http://schemas.openxmlformats.org/spreadsheetml/2006/main" count="2068" uniqueCount="725">
  <si>
    <t>Fecha</t>
  </si>
  <si>
    <t>N° Interno</t>
  </si>
  <si>
    <t>Patente</t>
  </si>
  <si>
    <t>Tipo Equipo</t>
  </si>
  <si>
    <t>Lugar/Área</t>
  </si>
  <si>
    <t>Horómetro Inicial</t>
  </si>
  <si>
    <t>Horómetro Final</t>
  </si>
  <si>
    <t>Operador/Turno</t>
  </si>
  <si>
    <t>Observación</t>
  </si>
  <si>
    <t>Tracto Camión</t>
  </si>
  <si>
    <t>GRUA HORQUILLA 16 TON</t>
  </si>
  <si>
    <t>GRUA HORQUILLA 7 TON</t>
  </si>
  <si>
    <t>GRUA HORQUILLA 3 TON</t>
  </si>
  <si>
    <t>GRUA HORQUILLA 3.5 TON ELECTRICA</t>
  </si>
  <si>
    <t>GRUA HORQUILLA 2.5 TON ELECTRICA</t>
  </si>
  <si>
    <t>EX-6792</t>
  </si>
  <si>
    <t>EX-6793</t>
  </si>
  <si>
    <t>EX-6794</t>
  </si>
  <si>
    <t>EX-6795</t>
  </si>
  <si>
    <t>EX-6796</t>
  </si>
  <si>
    <t>EX-6797</t>
  </si>
  <si>
    <t>EX-6798</t>
  </si>
  <si>
    <t>EX-6799</t>
  </si>
  <si>
    <t>EX-6800</t>
  </si>
  <si>
    <t>EX-6801</t>
  </si>
  <si>
    <t xml:space="preserve">Patio PRV (candelaria). </t>
  </si>
  <si>
    <t>Patio PC02 (candelaria).</t>
  </si>
  <si>
    <t xml:space="preserve">Puerto punta Padrones. </t>
  </si>
  <si>
    <t>Planta (PAC).</t>
  </si>
  <si>
    <t>Cargo directo (candelaria).</t>
  </si>
  <si>
    <t>Patio PC01 (candelaria).</t>
  </si>
  <si>
    <t>B. Principal (candelaria).</t>
  </si>
  <si>
    <t>Suspel PC01 (candelaria).</t>
  </si>
  <si>
    <t>Total general</t>
  </si>
  <si>
    <t>(Todas)</t>
  </si>
  <si>
    <t>Etiquetas de columna</t>
  </si>
  <si>
    <t>Mes</t>
  </si>
  <si>
    <t>Octubre</t>
  </si>
  <si>
    <t>Horas efectivas de trabajo</t>
  </si>
  <si>
    <t>Operador</t>
  </si>
  <si>
    <t>Equipo</t>
  </si>
  <si>
    <t>PATENTE</t>
  </si>
  <si>
    <t>ÁREA</t>
  </si>
  <si>
    <t>TIPO DE EQUIPO</t>
  </si>
  <si>
    <t>N°INTERNO</t>
  </si>
  <si>
    <t>FURGON PEUGEOT</t>
  </si>
  <si>
    <t>EX-6791</t>
  </si>
  <si>
    <t>CAMIÓN PLANO MERCEDEZ BENZ</t>
  </si>
  <si>
    <t>VF.ZG-96</t>
  </si>
  <si>
    <t>Laguna seca (candelaria).</t>
  </si>
  <si>
    <t>TRACTO CAMIÓN MERCEDEZ BENZ</t>
  </si>
  <si>
    <t>CV.YC-50</t>
  </si>
  <si>
    <t>EX-6832</t>
  </si>
  <si>
    <t>VC.YC-52</t>
  </si>
  <si>
    <t>EX-6833</t>
  </si>
  <si>
    <t>VC.YC-53</t>
  </si>
  <si>
    <t>EX-6805</t>
  </si>
  <si>
    <t>HH.BL-29</t>
  </si>
  <si>
    <t>EX-6806</t>
  </si>
  <si>
    <t>RAMPLA GOREN 28 TON</t>
  </si>
  <si>
    <t>PX.GC-26</t>
  </si>
  <si>
    <t>N/A</t>
  </si>
  <si>
    <t>PX.HY-62</t>
  </si>
  <si>
    <t>SEMI REMOLQUE PLANO GOREN 25 TON</t>
  </si>
  <si>
    <t>PX.JP-71</t>
  </si>
  <si>
    <t>SEMI REMOLQUE PLANO GOREN 45 TON</t>
  </si>
  <si>
    <t>PX.GC-25</t>
  </si>
  <si>
    <t xml:space="preserve">SEMI REMOLQUE PLANO GOREN 60 TON </t>
  </si>
  <si>
    <t>PX.JP-72</t>
  </si>
  <si>
    <t>GR.DK-96</t>
  </si>
  <si>
    <t xml:space="preserve">SEMI REMOLQUE PLANO GOREN 100 TON </t>
  </si>
  <si>
    <t>JJ.97-99</t>
  </si>
  <si>
    <t>EQUIPO</t>
  </si>
  <si>
    <t>Rampla</t>
  </si>
  <si>
    <t>Grua</t>
  </si>
  <si>
    <t>Furgón</t>
  </si>
  <si>
    <t>Camión Plano</t>
  </si>
  <si>
    <t>Cama Baja</t>
  </si>
  <si>
    <t>Tipo de Equipo</t>
  </si>
  <si>
    <t>Horómetro Actual</t>
  </si>
  <si>
    <t>Tabla Resume  Horómetro diario</t>
  </si>
  <si>
    <t>Suma de Horómetro Final</t>
  </si>
  <si>
    <t>CAMIONETA</t>
  </si>
  <si>
    <t>Camioneta</t>
  </si>
  <si>
    <t>UFJK-52</t>
  </si>
  <si>
    <t>HD/KM</t>
  </si>
  <si>
    <t>LISTADO DE PERSONAL</t>
  </si>
  <si>
    <t>Cargo</t>
  </si>
  <si>
    <t>CARGO</t>
  </si>
  <si>
    <t>Candelaria</t>
  </si>
  <si>
    <t>Freddy Méndez</t>
  </si>
  <si>
    <t>FURGON</t>
  </si>
  <si>
    <t>VFRF 41</t>
  </si>
  <si>
    <t>VFJK 42</t>
  </si>
  <si>
    <t>VFJK 51</t>
  </si>
  <si>
    <t>VFJK 52</t>
  </si>
  <si>
    <t>VFJK 55</t>
  </si>
  <si>
    <t>VFJK 56</t>
  </si>
  <si>
    <t>VFJK 57</t>
  </si>
  <si>
    <t>VFJK 61</t>
  </si>
  <si>
    <t>EX-6789</t>
  </si>
  <si>
    <t>EX-6787</t>
  </si>
  <si>
    <t>EX-6788</t>
  </si>
  <si>
    <t>EX-6790</t>
  </si>
  <si>
    <t>EX-6784</t>
  </si>
  <si>
    <t>EX-6786</t>
  </si>
  <si>
    <t>EX-6785</t>
  </si>
  <si>
    <t>GRUA HORQUILLA (Diesel )</t>
  </si>
  <si>
    <t xml:space="preserve">GRUA HORQUILLA (Diesel ) </t>
  </si>
  <si>
    <t xml:space="preserve">GRUA HORQUILLA (Diesel) </t>
  </si>
  <si>
    <t>GRÚA HORQUILLA ELÉCTRICA</t>
  </si>
  <si>
    <t>VCYC-50</t>
  </si>
  <si>
    <t>EX6832</t>
  </si>
  <si>
    <t>VCYC-53</t>
  </si>
  <si>
    <t>EX-6804</t>
  </si>
  <si>
    <t>VCYC-51</t>
  </si>
  <si>
    <t>VCYC-52</t>
  </si>
  <si>
    <t>EX-6834</t>
  </si>
  <si>
    <t>HHBL-29</t>
  </si>
  <si>
    <t>EX-6802</t>
  </si>
  <si>
    <t>VFZG 96</t>
  </si>
  <si>
    <t>EX-6836</t>
  </si>
  <si>
    <t>TRACTO CAMIONES (RAMPLA)</t>
  </si>
  <si>
    <t>TRACTO PARA CAMA BAJA 25 y 40 TON</t>
  </si>
  <si>
    <t>TRACTO PARA CAMA BAJA 60 y 100 TON</t>
  </si>
  <si>
    <t>CAMIÓN 10 TON</t>
  </si>
  <si>
    <t>TRACTO CAMIONES 28TN (RAMPLA)</t>
  </si>
  <si>
    <t>VRRF-41</t>
  </si>
  <si>
    <t>Noviembre</t>
  </si>
  <si>
    <t>299.1</t>
  </si>
  <si>
    <t>234.1</t>
  </si>
  <si>
    <t>233.9</t>
  </si>
  <si>
    <t>Suma de HD/KM</t>
  </si>
  <si>
    <t>Fecha de Carga de Adblue</t>
  </si>
  <si>
    <t>17773565-5</t>
  </si>
  <si>
    <t>9.636.994-8</t>
  </si>
  <si>
    <t>11.821.221-5</t>
  </si>
  <si>
    <t>15.611.414-6</t>
  </si>
  <si>
    <t>10.880.227-8</t>
  </si>
  <si>
    <t>19.124.982-8</t>
  </si>
  <si>
    <t>15.043.880-2</t>
  </si>
  <si>
    <t>10.078.119-0</t>
  </si>
  <si>
    <t>10.924.663-8</t>
  </si>
  <si>
    <t>13.181.927-7</t>
  </si>
  <si>
    <t>12.444.078-5</t>
  </si>
  <si>
    <t>21.314.854-0</t>
  </si>
  <si>
    <t>19.910.455-1</t>
  </si>
  <si>
    <t>16.750.937-1</t>
  </si>
  <si>
    <t>11.724.126-2</t>
  </si>
  <si>
    <t>22.130.113-7</t>
  </si>
  <si>
    <t>17.492.858-4</t>
  </si>
  <si>
    <t>Conductor Escolta</t>
  </si>
  <si>
    <t>Conductor Cama Baja</t>
  </si>
  <si>
    <t>Operador Camión Rampla</t>
  </si>
  <si>
    <t>Operador Camion Plano</t>
  </si>
  <si>
    <t>Encargado de Correspondencia</t>
  </si>
  <si>
    <t>Nombre</t>
  </si>
  <si>
    <t>Rut</t>
  </si>
  <si>
    <t>N°</t>
  </si>
  <si>
    <t>Nicolas Andres Alvarez Andia</t>
  </si>
  <si>
    <t>Adolfo Del Transito Barraza Cortes</t>
  </si>
  <si>
    <t>Jesus Lenin Brizuela Cotaipi</t>
  </si>
  <si>
    <t>Javier Guillermo Castelli Beltran</t>
  </si>
  <si>
    <t>Franklin Wilfredo Coello Salazar</t>
  </si>
  <si>
    <t>Jordan Gerardo Diaz Morales</t>
  </si>
  <si>
    <t>Jorge Antonio Ibacache Jimenez</t>
  </si>
  <si>
    <t>Johny Angel Miranda Huine</t>
  </si>
  <si>
    <t>Marco Miguel Muñoz Cordero</t>
  </si>
  <si>
    <t>Sandro Mauricio Puelles Puelles</t>
  </si>
  <si>
    <t>Enzo Salomon Reyes Pereira</t>
  </si>
  <si>
    <t>Rafael Antonio Rivera Muñoz</t>
  </si>
  <si>
    <t>Javier Alejandro Segovia Valdes</t>
  </si>
  <si>
    <t>Cesar Matias Toledo Vidal</t>
  </si>
  <si>
    <t>Rene Hugo Toro Olmos</t>
  </si>
  <si>
    <t>Felipe Ignacio Vega Leiva</t>
  </si>
  <si>
    <t>Felipe Jovanni Zola Rojas</t>
  </si>
  <si>
    <t>Wiliams Laguna Toledo</t>
  </si>
  <si>
    <t>Operador Bodega</t>
  </si>
  <si>
    <t>14.098.924-k</t>
  </si>
  <si>
    <t>24.238.781-3</t>
  </si>
  <si>
    <t>18.968.591-2</t>
  </si>
  <si>
    <t>18.871.190-1</t>
  </si>
  <si>
    <t>17.191.399-3</t>
  </si>
  <si>
    <t>Wilbert Lopez</t>
  </si>
  <si>
    <t>Jordan Orellana Cortes</t>
  </si>
  <si>
    <t>Aladin Ruiz Miranda</t>
  </si>
  <si>
    <t>Bastian Valdivia Valdivia</t>
  </si>
  <si>
    <t>Ramon Rojas Cortes</t>
  </si>
  <si>
    <t>15.869.605-3</t>
  </si>
  <si>
    <t>Alfredo Cabrera Cabrera</t>
  </si>
  <si>
    <t>Hugo Calderon Sanchez</t>
  </si>
  <si>
    <t>Supervisor</t>
  </si>
  <si>
    <t>Administrador de Contrato</t>
  </si>
  <si>
    <t>José Cofre Campos</t>
  </si>
  <si>
    <t>Freddy Mendez Moncada</t>
  </si>
  <si>
    <t>16.833.666-7</t>
  </si>
  <si>
    <t>16.056.906-9</t>
  </si>
  <si>
    <t>12.328.191-8</t>
  </si>
  <si>
    <t>15.951.205-3</t>
  </si>
  <si>
    <t>17.328.537-k</t>
  </si>
  <si>
    <t>16.865.077-9</t>
  </si>
  <si>
    <t>13.531.194-4</t>
  </si>
  <si>
    <t>Supervisor Senior</t>
  </si>
  <si>
    <t>Analista de Inventario</t>
  </si>
  <si>
    <t>Abraham Peña Cares</t>
  </si>
  <si>
    <t>Claudio Pino Santiagos</t>
  </si>
  <si>
    <t>Ramón Cristian Rojas Zuñiga</t>
  </si>
  <si>
    <t>Sederik Olmos Robledo</t>
  </si>
  <si>
    <t>19.738.580-4</t>
  </si>
  <si>
    <t>20.152.313-3</t>
  </si>
  <si>
    <t>Alan Vega Caceres</t>
  </si>
  <si>
    <t>Grua Horquilla</t>
  </si>
  <si>
    <t>Tracto</t>
  </si>
  <si>
    <t>Camión</t>
  </si>
  <si>
    <t>equipo</t>
  </si>
  <si>
    <t>caracteristica</t>
  </si>
  <si>
    <t>Proovedor</t>
  </si>
  <si>
    <t xml:space="preserve">patente </t>
  </si>
  <si>
    <t>Categoria</t>
  </si>
  <si>
    <t>ECONORET</t>
  </si>
  <si>
    <t>PEUGEOT</t>
  </si>
  <si>
    <t>1,05 TON</t>
  </si>
  <si>
    <t xml:space="preserve">FORD </t>
  </si>
  <si>
    <t>RANGER</t>
  </si>
  <si>
    <t>ARRRIENDO ECONORENT</t>
  </si>
  <si>
    <t>16 TON</t>
  </si>
  <si>
    <t>Comamo (PRV)</t>
  </si>
  <si>
    <t>HELI</t>
  </si>
  <si>
    <t>CPCD160-C2Z-06</t>
  </si>
  <si>
    <t>MEGA CENTRO (COMACO)</t>
  </si>
  <si>
    <t>Comamo (PC 2)</t>
  </si>
  <si>
    <t xml:space="preserve">CPCD160-C2Z-06 </t>
  </si>
  <si>
    <t>7 TON</t>
  </si>
  <si>
    <t xml:space="preserve">Comamo (Puerto) </t>
  </si>
  <si>
    <t>CPCD70-CU1G3</t>
  </si>
  <si>
    <t>Comamo (Planta PAC)</t>
  </si>
  <si>
    <t>Comamo (PC 1)</t>
  </si>
  <si>
    <t>Comamo (Cargo directo)</t>
  </si>
  <si>
    <t>3 TON</t>
  </si>
  <si>
    <t xml:space="preserve">CPCD35-KU20H </t>
  </si>
  <si>
    <t>CPCD35-KU20H</t>
  </si>
  <si>
    <t>3,5 TON</t>
  </si>
  <si>
    <t>Comamo (Bodega principal)</t>
  </si>
  <si>
    <t>CPD35-GB2LI</t>
  </si>
  <si>
    <t>2,5 TON</t>
  </si>
  <si>
    <t>Comamo ((PC 1)</t>
  </si>
  <si>
    <t>CPD25-GB2LI</t>
  </si>
  <si>
    <t>28 TON</t>
  </si>
  <si>
    <t xml:space="preserve">RFP Logisitica </t>
  </si>
  <si>
    <t>MERCEDES BENZ</t>
  </si>
  <si>
    <t>ACTROZ</t>
  </si>
  <si>
    <t>25 TON</t>
  </si>
  <si>
    <t>40 TON</t>
  </si>
  <si>
    <t>60-100 TON</t>
  </si>
  <si>
    <t>10 TON</t>
  </si>
  <si>
    <t>FTR 1524 AMT</t>
  </si>
  <si>
    <t>PXGC-26</t>
  </si>
  <si>
    <t>Cama baja</t>
  </si>
  <si>
    <t>10 TN</t>
  </si>
  <si>
    <t>cama baja</t>
  </si>
  <si>
    <t>Luis Ocampo</t>
  </si>
  <si>
    <t>Equipo 1</t>
  </si>
  <si>
    <t>Equipo 2</t>
  </si>
  <si>
    <t>Mail</t>
  </si>
  <si>
    <t>Empleado - Número de Documento</t>
  </si>
  <si>
    <t>Empleado - Apellido</t>
  </si>
  <si>
    <t>Empleado - Segundo Apellido</t>
  </si>
  <si>
    <t>Empleado - Nombre</t>
  </si>
  <si>
    <t>Empleado - Fecha de Nacimiento</t>
  </si>
  <si>
    <t>Empleado - Nacionalidad</t>
  </si>
  <si>
    <t>Empleado - Sexo</t>
  </si>
  <si>
    <t>Empleado - Teléfono Particular</t>
  </si>
  <si>
    <t>Empleado - Email Personal</t>
  </si>
  <si>
    <t>Empleado - Comuna</t>
  </si>
  <si>
    <t>Empleado - Dirección</t>
  </si>
  <si>
    <t>Trabajo - Fecha Ingreso Compañía</t>
  </si>
  <si>
    <t>Trabajo - Cargo</t>
  </si>
  <si>
    <t>Licencia</t>
  </si>
  <si>
    <t>23.588.827-0</t>
  </si>
  <si>
    <t>Albarracin</t>
  </si>
  <si>
    <t>Rojas</t>
  </si>
  <si>
    <t>Walter Antonio</t>
  </si>
  <si>
    <t>Chilena</t>
  </si>
  <si>
    <t>M</t>
  </si>
  <si>
    <t>995227182</t>
  </si>
  <si>
    <t>late_7815@outlook.com</t>
  </si>
  <si>
    <t>Copiapó</t>
  </si>
  <si>
    <t>Psje. Violeta # 51</t>
  </si>
  <si>
    <t>Operador Romana</t>
  </si>
  <si>
    <t>Alvarez</t>
  </si>
  <si>
    <t>Andia</t>
  </si>
  <si>
    <t>Nicolas Andres</t>
  </si>
  <si>
    <t>nicolas_alvarez_chile@hotmail.com</t>
  </si>
  <si>
    <t>Calle Fundo Palermo #795</t>
  </si>
  <si>
    <t>B</t>
  </si>
  <si>
    <t>16.132.487-6</t>
  </si>
  <si>
    <t>Arenas</t>
  </si>
  <si>
    <t>Fernandez</t>
  </si>
  <si>
    <t>Victor Manuel</t>
  </si>
  <si>
    <t>961087287</t>
  </si>
  <si>
    <t>varenasf.1985@gmail.com</t>
  </si>
  <si>
    <t>Carretera El Inca # 86</t>
  </si>
  <si>
    <t>B-D</t>
  </si>
  <si>
    <t>Barraza</t>
  </si>
  <si>
    <t>Cortes</t>
  </si>
  <si>
    <t>Adolfo Del Transito</t>
  </si>
  <si>
    <t>985045448</t>
  </si>
  <si>
    <t>barraza4020adolfo@gmail.com</t>
  </si>
  <si>
    <t>Huascar # 1515</t>
  </si>
  <si>
    <t>A2-B</t>
  </si>
  <si>
    <t>Brizuela</t>
  </si>
  <si>
    <t>Cotaipi</t>
  </si>
  <si>
    <t>Jesus Lenin</t>
  </si>
  <si>
    <t>948088334</t>
  </si>
  <si>
    <t>lenin.brizuela@gmail.com</t>
  </si>
  <si>
    <t>Salitrera Chucumata # 845</t>
  </si>
  <si>
    <t>A5-B-D</t>
  </si>
  <si>
    <t>Cabrera</t>
  </si>
  <si>
    <t>Alfredo</t>
  </si>
  <si>
    <t>Amadeo de Lard #1940</t>
  </si>
  <si>
    <t>20.153.217-5</t>
  </si>
  <si>
    <t>Mallega</t>
  </si>
  <si>
    <t>Ignacio Fabian</t>
  </si>
  <si>
    <t>929945438</t>
  </si>
  <si>
    <t>nacho4071@gmail.com</t>
  </si>
  <si>
    <t>Los Carreras # 1131</t>
  </si>
  <si>
    <t>Calderon</t>
  </si>
  <si>
    <t>Sanchez</t>
  </si>
  <si>
    <t>Hugo</t>
  </si>
  <si>
    <t>1985-0911</t>
  </si>
  <si>
    <t>hugo_calderon_sanchez@hotmail.com</t>
  </si>
  <si>
    <t>Los Carreras 1131 Depto 1412</t>
  </si>
  <si>
    <t>A4-D-A2</t>
  </si>
  <si>
    <t>17.055.065-k</t>
  </si>
  <si>
    <t>Campusano</t>
  </si>
  <si>
    <t>Contreras</t>
  </si>
  <si>
    <t>Andrea Pilar</t>
  </si>
  <si>
    <t>F</t>
  </si>
  <si>
    <t>995607324</t>
  </si>
  <si>
    <t>a.campusano74@gmail.com</t>
  </si>
  <si>
    <t>Rio Pulido # 3</t>
  </si>
  <si>
    <t>Ayudante de Bodega</t>
  </si>
  <si>
    <t>Castelli</t>
  </si>
  <si>
    <t>Beltran</t>
  </si>
  <si>
    <t>Javier Guillermo</t>
  </si>
  <si>
    <t>971081392</t>
  </si>
  <si>
    <t>javi30guiller@gmail.com</t>
  </si>
  <si>
    <t>Calle Vicente Zegers # 6603</t>
  </si>
  <si>
    <t>A5-A2-B-D</t>
  </si>
  <si>
    <t>16.559.297-2</t>
  </si>
  <si>
    <t>Castillo</t>
  </si>
  <si>
    <t>Araya</t>
  </si>
  <si>
    <t>Cristian Rodrigo</t>
  </si>
  <si>
    <t>cristiancastilloaraya@hotmail.com</t>
  </si>
  <si>
    <t>Calle Romulo Mandeola #495</t>
  </si>
  <si>
    <t>12.618.569-3</t>
  </si>
  <si>
    <t>Cepeda</t>
  </si>
  <si>
    <t>Zapata</t>
  </si>
  <si>
    <t>Juan de la Cruz</t>
  </si>
  <si>
    <t>jdelacruz14121974@gmail.com</t>
  </si>
  <si>
    <t>FRAY GIL DE SAN NICOLAS #3267</t>
  </si>
  <si>
    <t>Coello</t>
  </si>
  <si>
    <t>Salazar</t>
  </si>
  <si>
    <t>Franklin Wilfredo</t>
  </si>
  <si>
    <t>996523086</t>
  </si>
  <si>
    <t>fcoello1966@hotmail.com</t>
  </si>
  <si>
    <t>Salitrera Solferino N° 1731</t>
  </si>
  <si>
    <t>B-A2-D</t>
  </si>
  <si>
    <t>Cofre</t>
  </si>
  <si>
    <t>Campos</t>
  </si>
  <si>
    <t>Jose Guillermo</t>
  </si>
  <si>
    <t>972722128</t>
  </si>
  <si>
    <t>guillecofre@hotmail.com</t>
  </si>
  <si>
    <t>Araucaria Parana # 720</t>
  </si>
  <si>
    <t>A3-A5-B-D</t>
  </si>
  <si>
    <t>11.725.332-5</t>
  </si>
  <si>
    <t>Diaz</t>
  </si>
  <si>
    <t>Luis Alberto</t>
  </si>
  <si>
    <t>920310370</t>
  </si>
  <si>
    <t>luiscontrerasdiaz1971@gmail.com</t>
  </si>
  <si>
    <t>Calcopirita N°1593, Villa Los Minerales</t>
  </si>
  <si>
    <t>17.465.179-5</t>
  </si>
  <si>
    <t>Perez</t>
  </si>
  <si>
    <t>Francisco David</t>
  </si>
  <si>
    <t>56991997746</t>
  </si>
  <si>
    <t>fd.cortes.perez@gmail.com</t>
  </si>
  <si>
    <t>Francisco de Aguirre #78</t>
  </si>
  <si>
    <t>10.056.323-1</t>
  </si>
  <si>
    <t>Briceño</t>
  </si>
  <si>
    <t>Heriberto Antonio Del Carmen</t>
  </si>
  <si>
    <t>990624447</t>
  </si>
  <si>
    <t>hdhdiazb@gmail.com</t>
  </si>
  <si>
    <t>Calle Moises Arce # 454</t>
  </si>
  <si>
    <t>Morales</t>
  </si>
  <si>
    <t>Jordan Gerardo</t>
  </si>
  <si>
    <t>977841844</t>
  </si>
  <si>
    <t>diaz.jordan2013@gmail.com</t>
  </si>
  <si>
    <t>Avenida El Polamar # 1121, Dpto 109 Torre B</t>
  </si>
  <si>
    <t>A3-A5-B</t>
  </si>
  <si>
    <t>19.927.158-k</t>
  </si>
  <si>
    <t>Castro</t>
  </si>
  <si>
    <t>Jose Ignacio</t>
  </si>
  <si>
    <t>963481510</t>
  </si>
  <si>
    <t>joseignaciofernandez.c@gmail.com</t>
  </si>
  <si>
    <t>Hernán Sánchez Aliste # 6238</t>
  </si>
  <si>
    <t>16.559.088-0</t>
  </si>
  <si>
    <t>Galleguillos</t>
  </si>
  <si>
    <t>Silva</t>
  </si>
  <si>
    <t>Raul Mauricio</t>
  </si>
  <si>
    <t>1986-23-09</t>
  </si>
  <si>
    <t>silvagalleguillos7@gmail.com</t>
  </si>
  <si>
    <t>Maria Delfina Hidalgo #378, Colonias Extranjeras</t>
  </si>
  <si>
    <t>19.352.586-5</t>
  </si>
  <si>
    <t>Guerrero</t>
  </si>
  <si>
    <t>Joaquin Andres</t>
  </si>
  <si>
    <t>985153794</t>
  </si>
  <si>
    <t>juacopsgg@gmail.com</t>
  </si>
  <si>
    <t>Salitrera Nebraska #1950</t>
  </si>
  <si>
    <t>16.250.192-5</t>
  </si>
  <si>
    <t>Hidalgo</t>
  </si>
  <si>
    <t>Iriarte</t>
  </si>
  <si>
    <t>Andres Patricio</t>
  </si>
  <si>
    <t>948633999</t>
  </si>
  <si>
    <t>andres.hidalgo.iriarte@gmail.com</t>
  </si>
  <si>
    <t>Pasaje Bach # 2590</t>
  </si>
  <si>
    <t>14.150.731-1</t>
  </si>
  <si>
    <t>Hurtado</t>
  </si>
  <si>
    <t>Galvez</t>
  </si>
  <si>
    <t>Waldo Andres</t>
  </si>
  <si>
    <t>985361925</t>
  </si>
  <si>
    <t>ironmaiden24@gmail.com</t>
  </si>
  <si>
    <t>Isabel Peña Morales # 4563</t>
  </si>
  <si>
    <t>Ibacache</t>
  </si>
  <si>
    <t>Jimenez</t>
  </si>
  <si>
    <t>Jorge Antonio</t>
  </si>
  <si>
    <t>961547001</t>
  </si>
  <si>
    <t>koky-jimenez20@hotmail.com</t>
  </si>
  <si>
    <t>Salitrera Tres Marias # 1835</t>
  </si>
  <si>
    <t>A4-A2-B</t>
  </si>
  <si>
    <t>18.709.406-2</t>
  </si>
  <si>
    <t>Illanes</t>
  </si>
  <si>
    <t>Navarrete</t>
  </si>
  <si>
    <t>Martin Matias Ignacio</t>
  </si>
  <si>
    <t>56992622627</t>
  </si>
  <si>
    <t>martinillanes93@gmail.com</t>
  </si>
  <si>
    <t>Osorno #2498</t>
  </si>
  <si>
    <t>18.138.417-4</t>
  </si>
  <si>
    <t>Julio</t>
  </si>
  <si>
    <t>Escalera</t>
  </si>
  <si>
    <t>Franco</t>
  </si>
  <si>
    <t>francko.julio@gmail.com</t>
  </si>
  <si>
    <t>Avenida El Palomar # 1121</t>
  </si>
  <si>
    <t>Lagunas</t>
  </si>
  <si>
    <t>Toledo</t>
  </si>
  <si>
    <t>Williams Hugo Aaron</t>
  </si>
  <si>
    <t>977619012</t>
  </si>
  <si>
    <t>williams.laguna.toledo@gmail.com</t>
  </si>
  <si>
    <t>SALITRERA JOSEFINA #2490</t>
  </si>
  <si>
    <t>Lopez</t>
  </si>
  <si>
    <t>Wilbert</t>
  </si>
  <si>
    <t>Boliviana</t>
  </si>
  <si>
    <t>962626193</t>
  </si>
  <si>
    <t>lopezlopezwilbert2@gmail.com</t>
  </si>
  <si>
    <t>Calle Balmaceda # 646</t>
  </si>
  <si>
    <t>25.740.232-0</t>
  </si>
  <si>
    <t>Marcano</t>
  </si>
  <si>
    <t>Carlos Adolfo</t>
  </si>
  <si>
    <t>Venezolana</t>
  </si>
  <si>
    <t>947165499</t>
  </si>
  <si>
    <t>ca.marcano@hotmail.com</t>
  </si>
  <si>
    <t>Leonidas Perez # 3450, Dpto. 108 Torre 3</t>
  </si>
  <si>
    <t>Mendez</t>
  </si>
  <si>
    <t>Moncada</t>
  </si>
  <si>
    <t>Freddy Adam</t>
  </si>
  <si>
    <t>fmendez@rfp-logistica.cl</t>
  </si>
  <si>
    <t>Panamericana Norte # 836</t>
  </si>
  <si>
    <t>Miranda</t>
  </si>
  <si>
    <t>Huine</t>
  </si>
  <si>
    <t>Johny Angel</t>
  </si>
  <si>
    <t>982552004</t>
  </si>
  <si>
    <t>johnyangelm@gmail.com</t>
  </si>
  <si>
    <t>Calle Quidora Nº 1285</t>
  </si>
  <si>
    <t>A4-B</t>
  </si>
  <si>
    <t>19.352.660-8</t>
  </si>
  <si>
    <t>Molina</t>
  </si>
  <si>
    <t>Cortés</t>
  </si>
  <si>
    <t>Carlos Andres</t>
  </si>
  <si>
    <t>978539145</t>
  </si>
  <si>
    <t>96molinaca@gmail.com</t>
  </si>
  <si>
    <t>Bartolina Chillimaco #1139</t>
  </si>
  <si>
    <t>17.330.900-7</t>
  </si>
  <si>
    <t>Alvaro</t>
  </si>
  <si>
    <t>alvaromoralesg30@gmail.com</t>
  </si>
  <si>
    <t>Pasaje Caleta Horcón # 937</t>
  </si>
  <si>
    <t>Muñoz</t>
  </si>
  <si>
    <t>Cordero</t>
  </si>
  <si>
    <t>Marco Miguel</t>
  </si>
  <si>
    <t>940239701</t>
  </si>
  <si>
    <t>emeliymauro2015@gmail.com</t>
  </si>
  <si>
    <t>Ana Vallejos # 5543</t>
  </si>
  <si>
    <t>20.153.082-2</t>
  </si>
  <si>
    <t>Navarro</t>
  </si>
  <si>
    <t>Rafael Josafat</t>
  </si>
  <si>
    <t>967085250</t>
  </si>
  <si>
    <t>r.navarro.c2103@gmail.com</t>
  </si>
  <si>
    <t>Einten # 1128</t>
  </si>
  <si>
    <t>17.773.972-3</t>
  </si>
  <si>
    <t>Olave</t>
  </si>
  <si>
    <t>Lira</t>
  </si>
  <si>
    <t>Sebastian Andres</t>
  </si>
  <si>
    <t>950174278</t>
  </si>
  <si>
    <t>seba.lira01@gmail.com</t>
  </si>
  <si>
    <t>Miguel Gallo 943</t>
  </si>
  <si>
    <t>20.990.084-k</t>
  </si>
  <si>
    <t>Olivares</t>
  </si>
  <si>
    <t>Carvajal</t>
  </si>
  <si>
    <t>Kristhina Constanza</t>
  </si>
  <si>
    <t>963657692</t>
  </si>
  <si>
    <t>kristhinaolivares6@gmail.com</t>
  </si>
  <si>
    <t>Manganita #2071</t>
  </si>
  <si>
    <t>Administrativo Coordinador</t>
  </si>
  <si>
    <t>19.451.518-9</t>
  </si>
  <si>
    <t>Urzúa</t>
  </si>
  <si>
    <t>Pablo Andres</t>
  </si>
  <si>
    <t>957862536</t>
  </si>
  <si>
    <t>pabloaou_12@hotmail.com</t>
  </si>
  <si>
    <t>Caldera</t>
  </si>
  <si>
    <t>El Cisne # 681</t>
  </si>
  <si>
    <t>Olmos</t>
  </si>
  <si>
    <t>Roblero</t>
  </si>
  <si>
    <t>Sederik Alejandro</t>
  </si>
  <si>
    <t>966706213</t>
  </si>
  <si>
    <t>sk.olmosr@gmail.com</t>
  </si>
  <si>
    <t>Yumbel # 630</t>
  </si>
  <si>
    <t>Orellana</t>
  </si>
  <si>
    <t>Jordan Alfredo</t>
  </si>
  <si>
    <t>975514729</t>
  </si>
  <si>
    <t>jordanorellanac94@gmail.com</t>
  </si>
  <si>
    <t>Llanos de Algarrobal # 708</t>
  </si>
  <si>
    <t>16.559.070-8</t>
  </si>
  <si>
    <t>Oyanedel</t>
  </si>
  <si>
    <t>Godoy</t>
  </si>
  <si>
    <t>Maria Jose</t>
  </si>
  <si>
    <t>mj.ei.nm2@gmail.com</t>
  </si>
  <si>
    <t>Robert Kennedy #5532</t>
  </si>
  <si>
    <t>19.459.115-2</t>
  </si>
  <si>
    <t>Parra</t>
  </si>
  <si>
    <t>Cerda</t>
  </si>
  <si>
    <t>Constanza Carolina</t>
  </si>
  <si>
    <t>coniparrac@hotmail.com</t>
  </si>
  <si>
    <t>Carlos Beas Salazar #850</t>
  </si>
  <si>
    <t>Peña</t>
  </si>
  <si>
    <t>Cares</t>
  </si>
  <si>
    <t>Abraham Aladino</t>
  </si>
  <si>
    <t>959127060</t>
  </si>
  <si>
    <t>abraham.sotraser@gmail.com</t>
  </si>
  <si>
    <t>Calle General Baquedano # 1883</t>
  </si>
  <si>
    <t>Pino</t>
  </si>
  <si>
    <t>Santiagos</t>
  </si>
  <si>
    <t>Claudio Alfonso</t>
  </si>
  <si>
    <t>957439466</t>
  </si>
  <si>
    <t>claudio.pino.san@gmail.com</t>
  </si>
  <si>
    <t>Santiago</t>
  </si>
  <si>
    <t>Los Conquistadores N° 133</t>
  </si>
  <si>
    <t>18.141.744-7</t>
  </si>
  <si>
    <t>Pizarro</t>
  </si>
  <si>
    <t>Velasquez</t>
  </si>
  <si>
    <t>Cynthia Alexandra</t>
  </si>
  <si>
    <t>940439350</t>
  </si>
  <si>
    <t>cynthia.pizarro9222@gmail.com</t>
  </si>
  <si>
    <t>Giacinto Prato N°1923</t>
  </si>
  <si>
    <t>Experto en Prevención de Riesgos</t>
  </si>
  <si>
    <t>19.910.196-k</t>
  </si>
  <si>
    <t>Ponce</t>
  </si>
  <si>
    <t>Espinoza</t>
  </si>
  <si>
    <t>Carolina Ines</t>
  </si>
  <si>
    <t>56990976560</t>
  </si>
  <si>
    <t>carolinainezponceespinoza@gmail.com</t>
  </si>
  <si>
    <t>Ignacio Carrera Pinto #110</t>
  </si>
  <si>
    <t>Puelles</t>
  </si>
  <si>
    <t>Sandro Mauricio</t>
  </si>
  <si>
    <t>958997111</t>
  </si>
  <si>
    <t>smppka@gmail.com</t>
  </si>
  <si>
    <t>Av. El Palomar # 1121 Condominio Alto Kaukari # 206B</t>
  </si>
  <si>
    <t>A5-B</t>
  </si>
  <si>
    <t>17.773.828-k</t>
  </si>
  <si>
    <t>Reinuaba</t>
  </si>
  <si>
    <t>Aracena</t>
  </si>
  <si>
    <t>Jose Armando</t>
  </si>
  <si>
    <t>981366793</t>
  </si>
  <si>
    <t>jose.reinuaba91@gmail.com</t>
  </si>
  <si>
    <t>Villagrán # 6975</t>
  </si>
  <si>
    <t>Reyes</t>
  </si>
  <si>
    <t>Pereira</t>
  </si>
  <si>
    <t>Enzo Salomon</t>
  </si>
  <si>
    <t>935395662</t>
  </si>
  <si>
    <t>salomonpereira72@gmail.com</t>
  </si>
  <si>
    <t>Granate # 2367</t>
  </si>
  <si>
    <t>A1-A2</t>
  </si>
  <si>
    <t>Rivera</t>
  </si>
  <si>
    <t>Rafael Antonio</t>
  </si>
  <si>
    <t>995570715</t>
  </si>
  <si>
    <t>rr.antonio2003@gmail.com</t>
  </si>
  <si>
    <t>Llanos de Pilmaiquen # 6319</t>
  </si>
  <si>
    <t>Ramon Mario Rodrigo</t>
  </si>
  <si>
    <t>958629337</t>
  </si>
  <si>
    <t>ramonmario2827@gmail.com</t>
  </si>
  <si>
    <t>Tierra Amarilla</t>
  </si>
  <si>
    <t>Canal Mal Paso S/N</t>
  </si>
  <si>
    <t>24.867.157-2</t>
  </si>
  <si>
    <t>Rodallega</t>
  </si>
  <si>
    <t>Warner Esneider</t>
  </si>
  <si>
    <t>Colombiana</t>
  </si>
  <si>
    <t>959348038</t>
  </si>
  <si>
    <t>warneresneider85@gmail.com</t>
  </si>
  <si>
    <t>Pasaje Verona # 715</t>
  </si>
  <si>
    <t>Administrativo Control Documental</t>
  </si>
  <si>
    <t>Zuñiga</t>
  </si>
  <si>
    <t>Ramon Cristian Daniel</t>
  </si>
  <si>
    <t>crzboarding@gmail.com</t>
  </si>
  <si>
    <t>El Molle #182</t>
  </si>
  <si>
    <t>Ruiz</t>
  </si>
  <si>
    <t>Aladin Segundo</t>
  </si>
  <si>
    <t>959787009</t>
  </si>
  <si>
    <t>aladinruiz21@gmail.com</t>
  </si>
  <si>
    <t>Callejón Pedro León Gallo #728</t>
  </si>
  <si>
    <t>20.411.599-0</t>
  </si>
  <si>
    <t>Saavedra</t>
  </si>
  <si>
    <t>Pasten</t>
  </si>
  <si>
    <t>Lucas Artemio</t>
  </si>
  <si>
    <t>956894953</t>
  </si>
  <si>
    <t>lucas.saavedra.pasten@gmail.com</t>
  </si>
  <si>
    <t>Río Pulido # 28</t>
  </si>
  <si>
    <t>17.605.579-0</t>
  </si>
  <si>
    <t>Herrera</t>
  </si>
  <si>
    <t>Matias Alberto</t>
  </si>
  <si>
    <t>991867919</t>
  </si>
  <si>
    <t>matisanchezherrera@gmail.com</t>
  </si>
  <si>
    <t>Los Carrera # 5921</t>
  </si>
  <si>
    <t>Segovia</t>
  </si>
  <si>
    <t>Valdes</t>
  </si>
  <si>
    <t>Javier Alejandro</t>
  </si>
  <si>
    <t>972842788</t>
  </si>
  <si>
    <t>javier.alej.seg@gmail.com</t>
  </si>
  <si>
    <t>Hipólito # 5860</t>
  </si>
  <si>
    <t>20.517.395-1</t>
  </si>
  <si>
    <t>Maldonado</t>
  </si>
  <si>
    <t>Ricardo Andres</t>
  </si>
  <si>
    <t>942669855</t>
  </si>
  <si>
    <t>ricardoasm2000@gmail.com</t>
  </si>
  <si>
    <t>Collipulli # 2141</t>
  </si>
  <si>
    <t>18.140.595-3</t>
  </si>
  <si>
    <t>Tapia</t>
  </si>
  <si>
    <t>Vicencio</t>
  </si>
  <si>
    <t>994487244</t>
  </si>
  <si>
    <t>tapia.carlos19@gmail.com</t>
  </si>
  <si>
    <t>10 de Julio Nº 129</t>
  </si>
  <si>
    <t>Vidal</t>
  </si>
  <si>
    <t>Cesar Matias</t>
  </si>
  <si>
    <t>930979401</t>
  </si>
  <si>
    <t>cesartoledovidal@gmail.com</t>
  </si>
  <si>
    <t>Lastarria N°1057</t>
  </si>
  <si>
    <t>A5-A2-D</t>
  </si>
  <si>
    <t>Toro</t>
  </si>
  <si>
    <t>Rene Hugo</t>
  </si>
  <si>
    <t>958455062</t>
  </si>
  <si>
    <t>tororene@hotmail.com</t>
  </si>
  <si>
    <t>Pasaje Esmeralda # 6</t>
  </si>
  <si>
    <t>A1-A2-B-D</t>
  </si>
  <si>
    <t>Valdivia</t>
  </si>
  <si>
    <t>Bastian Alfredo</t>
  </si>
  <si>
    <t>931339717</t>
  </si>
  <si>
    <t>bastian.alfredo.valdivia@gmail.com</t>
  </si>
  <si>
    <t>Calle El Cisne #1586</t>
  </si>
  <si>
    <t>20.723.077-4</t>
  </si>
  <si>
    <t>Escarlette Joyce</t>
  </si>
  <si>
    <t>998159560</t>
  </si>
  <si>
    <t>escarlettvaldiviairiarte@gmail.com</t>
  </si>
  <si>
    <t>Rio Astaburoaga # 18</t>
  </si>
  <si>
    <t>18.138.161-2</t>
  </si>
  <si>
    <t>Oyarce</t>
  </si>
  <si>
    <t>Mauricio Andres</t>
  </si>
  <si>
    <t>mvaldivia.oyarce18@gmail.com</t>
  </si>
  <si>
    <t>Pje. Padre Avelino #5883</t>
  </si>
  <si>
    <t>25.814.838-k</t>
  </si>
  <si>
    <t>Valencia</t>
  </si>
  <si>
    <t>Velez</t>
  </si>
  <si>
    <t>Juan Pablo</t>
  </si>
  <si>
    <t>931153256</t>
  </si>
  <si>
    <t>juanpablovalecia1701@gmail.com</t>
  </si>
  <si>
    <t>Pasaje Libertad # 1002</t>
  </si>
  <si>
    <t>Vega</t>
  </si>
  <si>
    <t>Cáceres</t>
  </si>
  <si>
    <t>Alan Alexander</t>
  </si>
  <si>
    <t>956540715</t>
  </si>
  <si>
    <t>alan.vega@hotmail.com</t>
  </si>
  <si>
    <t>Salitrera independencia # 797</t>
  </si>
  <si>
    <t>Leiva</t>
  </si>
  <si>
    <t>Felipe Ignacio</t>
  </si>
  <si>
    <t>942738755</t>
  </si>
  <si>
    <t>felipe.ivega@gmail.com</t>
  </si>
  <si>
    <t>Av. Costanera Sur # 2110, Dpto. 14, Torre F.</t>
  </si>
  <si>
    <t>20.152.898-4</t>
  </si>
  <si>
    <t>Arcana</t>
  </si>
  <si>
    <t>Jorge Enrique Tercero</t>
  </si>
  <si>
    <t>935760918</t>
  </si>
  <si>
    <t>jv292843@gmail.com</t>
  </si>
  <si>
    <t>Los Arrayanes # 655</t>
  </si>
  <si>
    <t>14.114.308-5</t>
  </si>
  <si>
    <t>Velásquez</t>
  </si>
  <si>
    <t>Aguilera</t>
  </si>
  <si>
    <t>Jimmy Jonathan</t>
  </si>
  <si>
    <t>941762856</t>
  </si>
  <si>
    <t>velasquezaguilerajimmy@gmail.com</t>
  </si>
  <si>
    <t>Colo Colo # 1391</t>
  </si>
  <si>
    <t>Zola</t>
  </si>
  <si>
    <t>Felipe Jovanni</t>
  </si>
  <si>
    <t>984130060</t>
  </si>
  <si>
    <t>f.zola.rojas@hotmail.com</t>
  </si>
  <si>
    <t>Calle Changos # 1676</t>
  </si>
  <si>
    <t>A5-A2-B</t>
  </si>
  <si>
    <t>acabrera@rfp-logistica.cl</t>
  </si>
  <si>
    <t>hcalderon@rfp-logistica.cl</t>
  </si>
  <si>
    <t>clpino@rfp-logistica.cl</t>
  </si>
  <si>
    <t>rrojas@rfp-logistica.cl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</si>
</sst>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name val="Calibri Light"/>
      <family val="2"/>
    </font>
    <font>
      <b/>
      <sz val="9"/>
      <name val="Calibri Light"/>
      <family val="2"/>
    </font>
    <font>
      <b/>
      <sz val="11"/>
      <name val="Calibri Light"/>
      <family val="2"/>
    </font>
    <font>
      <sz val="11"/>
      <name val="Calibri"/>
      <family val="2"/>
      <scheme val="minor"/>
    </font>
    <font>
      <sz val="10"/>
      <name val="Calibri Light"/>
      <family val="2"/>
    </font>
    <font>
      <b/>
      <sz val="11"/>
      <color theme="1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5" fillId="5" borderId="1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vertical="center"/>
    </xf>
    <xf numFmtId="0" fontId="5" fillId="4" borderId="1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pivotButton="1" applyAlignment="1">
      <alignment horizontal="center" vertical="center"/>
    </xf>
    <xf numFmtId="14" fontId="0" fillId="0" borderId="0" xfId="0" applyNumberFormat="1" applyAlignment="1">
      <alignment horizontal="center" vertical="center" textRotation="90"/>
    </xf>
    <xf numFmtId="0" fontId="0" fillId="0" borderId="0" xfId="0" applyAlignment="1">
      <alignment horizontal="left" indent="1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16" xfId="0" applyFont="1" applyFill="1" applyBorder="1" applyAlignment="1">
      <alignment vertical="center"/>
    </xf>
    <xf numFmtId="0" fontId="5" fillId="4" borderId="17" xfId="0" applyFont="1" applyFill="1" applyBorder="1" applyAlignment="1">
      <alignment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0" fillId="8" borderId="0" xfId="0" applyFill="1"/>
    <xf numFmtId="0" fontId="7" fillId="0" borderId="22" xfId="0" applyFont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3" fontId="8" fillId="4" borderId="22" xfId="0" applyNumberFormat="1" applyFont="1" applyFill="1" applyBorder="1" applyAlignment="1">
      <alignment horizontal="center" vertical="center"/>
    </xf>
    <xf numFmtId="3" fontId="7" fillId="4" borderId="2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10" fillId="10" borderId="22" xfId="0" applyFont="1" applyFill="1" applyBorder="1" applyAlignment="1">
      <alignment horizontal="left" vertical="center"/>
    </xf>
    <xf numFmtId="0" fontId="8" fillId="10" borderId="22" xfId="0" applyFont="1" applyFill="1" applyBorder="1" applyAlignment="1">
      <alignment horizontal="left" vertical="center"/>
    </xf>
    <xf numFmtId="0" fontId="9" fillId="9" borderId="2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1" fillId="0" borderId="0" xfId="0" applyFont="1"/>
    <xf numFmtId="0" fontId="7" fillId="0" borderId="22" xfId="0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4" fillId="11" borderId="22" xfId="0" applyFont="1" applyFill="1" applyBorder="1" applyAlignment="1">
      <alignment horizontal="center" vertical="center"/>
    </xf>
    <xf numFmtId="14" fontId="15" fillId="4" borderId="22" xfId="0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0" xfId="0" applyFill="1"/>
    <xf numFmtId="0" fontId="16" fillId="4" borderId="28" xfId="0" applyFont="1" applyFill="1" applyBorder="1" applyAlignment="1">
      <alignment vertical="center" wrapText="1"/>
    </xf>
    <xf numFmtId="0" fontId="7" fillId="11" borderId="18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/>
    </xf>
    <xf numFmtId="0" fontId="0" fillId="4" borderId="28" xfId="0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16" fillId="4" borderId="22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left" vertical="center"/>
    </xf>
    <xf numFmtId="0" fontId="16" fillId="8" borderId="22" xfId="0" applyFont="1" applyFill="1" applyBorder="1" applyAlignment="1">
      <alignment vertical="center" wrapText="1"/>
    </xf>
    <xf numFmtId="0" fontId="14" fillId="8" borderId="20" xfId="0" applyFont="1" applyFill="1" applyBorder="1" applyAlignment="1">
      <alignment horizontal="left" vertical="center"/>
    </xf>
    <xf numFmtId="0" fontId="7" fillId="8" borderId="20" xfId="0" applyFont="1" applyFill="1" applyBorder="1" applyAlignment="1">
      <alignment horizontal="left" vertical="center"/>
    </xf>
    <xf numFmtId="0" fontId="0" fillId="8" borderId="22" xfId="0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21" xfId="0" applyFont="1" applyFill="1" applyBorder="1" applyAlignment="1">
      <alignment horizontal="left" vertical="center"/>
    </xf>
    <xf numFmtId="0" fontId="7" fillId="4" borderId="33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vertical="center" wrapText="1"/>
    </xf>
    <xf numFmtId="0" fontId="7" fillId="4" borderId="34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0" fontId="17" fillId="4" borderId="22" xfId="0" applyFont="1" applyFill="1" applyBorder="1" applyAlignment="1">
      <alignment vertical="center" wrapText="1"/>
    </xf>
    <xf numFmtId="0" fontId="1" fillId="0" borderId="2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4" borderId="35" xfId="0" applyFont="1" applyFill="1" applyBorder="1" applyAlignment="1">
      <alignment horizontal="left" vertical="center"/>
    </xf>
    <xf numFmtId="0" fontId="17" fillId="4" borderId="36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 textRotation="90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vertical="center"/>
    </xf>
    <xf numFmtId="0" fontId="5" fillId="12" borderId="11" xfId="0" applyFont="1" applyFill="1" applyBorder="1" applyAlignment="1">
      <alignment vertical="center"/>
    </xf>
    <xf numFmtId="0" fontId="5" fillId="12" borderId="12" xfId="0" applyFont="1" applyFill="1" applyBorder="1" applyAlignment="1">
      <alignment horizontal="center" vertical="center"/>
    </xf>
    <xf numFmtId="0" fontId="0" fillId="12" borderId="0" xfId="0" applyFill="1"/>
    <xf numFmtId="0" fontId="5" fillId="12" borderId="17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vertical="center"/>
    </xf>
    <xf numFmtId="0" fontId="5" fillId="12" borderId="16" xfId="0" applyFont="1" applyFill="1" applyBorder="1" applyAlignment="1">
      <alignment horizontal="center" vertical="center"/>
    </xf>
    <xf numFmtId="0" fontId="5" fillId="12" borderId="16" xfId="0" applyFont="1" applyFill="1" applyBorder="1" applyAlignment="1">
      <alignment vertical="center"/>
    </xf>
    <xf numFmtId="0" fontId="5" fillId="12" borderId="11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8" fillId="0" borderId="0" xfId="1" applyFill="1"/>
    <xf numFmtId="0" fontId="18" fillId="0" borderId="0" xfId="1"/>
    <xf numFmtId="3" fontId="0" fillId="0" borderId="0" xfId="0" applyNumberFormat="1"/>
    <xf numFmtId="0" fontId="0" fillId="13" borderId="0" xfId="0" applyFill="1"/>
  </cellXfs>
  <cellStyles count="2">
    <cellStyle name="Hipervínculo" xfId="1" builtinId="8"/>
    <cellStyle name="Normal" xfId="0" builtinId="0"/>
  </cellStyles>
  <dxfs count="33">
    <dxf>
      <numFmt numFmtId="0" formatCode="General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alignment horizontal="center"/>
    </dxf>
    <dxf>
      <alignment textRotation="90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textRotation="90"/>
    </dxf>
    <dxf>
      <alignment vertical="center"/>
    </dxf>
    <dxf>
      <alignment vertical="center"/>
    </dxf>
    <dxf>
      <alignment vertical="center"/>
    </dxf>
    <dxf>
      <alignment horizontal="center"/>
    </dxf>
    <dxf>
      <alignment textRotation="0"/>
    </dxf>
    <dxf>
      <alignment wrapText="1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textRotation="9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[control_horometro_flota.xlsx]Hoja2!TablaDinámica1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Horómetro Diario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Hoja2!$A$7:$A$17</c:f>
              <c:strCache>
                <c:ptCount val="10"/>
                <c:pt idx="0">
                  <c:v>459</c:v>
                </c:pt>
                <c:pt idx="1">
                  <c:v>460</c:v>
                </c:pt>
                <c:pt idx="2">
                  <c:v>461</c:v>
                </c:pt>
                <c:pt idx="3">
                  <c:v>462</c:v>
                </c:pt>
                <c:pt idx="4">
                  <c:v>463</c:v>
                </c:pt>
                <c:pt idx="5">
                  <c:v>464</c:v>
                </c:pt>
                <c:pt idx="6">
                  <c:v>465</c:v>
                </c:pt>
                <c:pt idx="7">
                  <c:v>466</c:v>
                </c:pt>
                <c:pt idx="8">
                  <c:v>467</c:v>
                </c:pt>
                <c:pt idx="9">
                  <c:v>475</c:v>
                </c:pt>
              </c:strCache>
            </c:strRef>
          </c:cat>
          <c:val>
            <c:numRef>
              <c:f>Hoja2!$B$7:$B$17</c:f>
              <c:numCache>
                <c:formatCode>General</c:formatCode>
                <c:ptCount val="10"/>
                <c:pt idx="0">
                  <c:v>7.5999999999999943</c:v>
                </c:pt>
                <c:pt idx="1">
                  <c:v>4.9000000000000057</c:v>
                </c:pt>
                <c:pt idx="2">
                  <c:v>2.9000000000000057</c:v>
                </c:pt>
                <c:pt idx="3">
                  <c:v>4.0999999999999943</c:v>
                </c:pt>
                <c:pt idx="4">
                  <c:v>13</c:v>
                </c:pt>
                <c:pt idx="5">
                  <c:v>8.0999999999999943</c:v>
                </c:pt>
                <c:pt idx="6">
                  <c:v>9.1000000000000227</c:v>
                </c:pt>
                <c:pt idx="7">
                  <c:v>8.8000000000000114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4-488E-B34C-B93A4839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18015"/>
        <c:axId val="174614175"/>
      </c:barChart>
      <c:catAx>
        <c:axId val="17461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4614175"/>
        <c:crosses val="autoZero"/>
        <c:auto val="1"/>
        <c:lblAlgn val="ctr"/>
        <c:lblOffset val="100"/>
        <c:noMultiLvlLbl val="0"/>
      </c:catAx>
      <c:valAx>
        <c:axId val="1746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461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[control_horometro_flota.xlsx]Hoja2!TablaDinámica2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 de Horas por equipo</a:t>
            </a:r>
          </a:p>
        </c:rich>
      </c:tx>
      <c:layout>
        <c:manualLayout>
          <c:xMode val="edge"/>
          <c:yMode val="edge"/>
          <c:x val="0.30690266841644792"/>
          <c:y val="9.5180810731991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48381452318461"/>
          <c:y val="0.24837525517643624"/>
          <c:w val="0.62315485564304463"/>
          <c:h val="0.47375218722659668"/>
        </c:manualLayout>
      </c:layout>
      <c:lineChart>
        <c:grouping val="standard"/>
        <c:varyColors val="0"/>
        <c:ser>
          <c:idx val="0"/>
          <c:order val="0"/>
          <c:tx>
            <c:strRef>
              <c:f>Hoja2!$B$26:$B$27</c:f>
              <c:strCache>
                <c:ptCount val="1"/>
                <c:pt idx="0">
                  <c:v>461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Hoja2!$A$28:$A$33</c:f>
              <c:strCache>
                <c:ptCount val="5"/>
                <c:pt idx="0">
                  <c:v>27-10-2025</c:v>
                </c:pt>
                <c:pt idx="1">
                  <c:v>28-10-2025</c:v>
                </c:pt>
                <c:pt idx="2">
                  <c:v>29-10-2025</c:v>
                </c:pt>
                <c:pt idx="3">
                  <c:v>30-10-2025</c:v>
                </c:pt>
                <c:pt idx="4">
                  <c:v>31-10-2025</c:v>
                </c:pt>
              </c:strCache>
            </c:strRef>
          </c:cat>
          <c:val>
            <c:numRef>
              <c:f>Hoja2!$B$28:$B$33</c:f>
              <c:numCache>
                <c:formatCode>General</c:formatCode>
                <c:ptCount val="5"/>
                <c:pt idx="0">
                  <c:v>2</c:v>
                </c:pt>
                <c:pt idx="1">
                  <c:v>0.20000000000000284</c:v>
                </c:pt>
                <c:pt idx="2">
                  <c:v>0</c:v>
                </c:pt>
                <c:pt idx="3">
                  <c:v>0.70000000000000284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B-41C7-AF48-857AB424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223952927"/>
        <c:axId val="223954367"/>
      </c:lineChart>
      <c:catAx>
        <c:axId val="22395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3954367"/>
        <c:crosses val="autoZero"/>
        <c:auto val="1"/>
        <c:lblAlgn val="ctr"/>
        <c:lblOffset val="100"/>
        <c:noMultiLvlLbl val="0"/>
      </c:catAx>
      <c:valAx>
        <c:axId val="2239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Horómetro Diario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39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[control_horometro_flota.xlsx]Hoja2!TablaDinámica1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Distribución Horómetro Diario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Hoja2!$A$7:$A$17</c:f>
              <c:strCache>
                <c:ptCount val="10"/>
                <c:pt idx="0">
                  <c:v>459</c:v>
                </c:pt>
                <c:pt idx="1">
                  <c:v>460</c:v>
                </c:pt>
                <c:pt idx="2">
                  <c:v>461</c:v>
                </c:pt>
                <c:pt idx="3">
                  <c:v>462</c:v>
                </c:pt>
                <c:pt idx="4">
                  <c:v>463</c:v>
                </c:pt>
                <c:pt idx="5">
                  <c:v>464</c:v>
                </c:pt>
                <c:pt idx="6">
                  <c:v>465</c:v>
                </c:pt>
                <c:pt idx="7">
                  <c:v>466</c:v>
                </c:pt>
                <c:pt idx="8">
                  <c:v>467</c:v>
                </c:pt>
                <c:pt idx="9">
                  <c:v>475</c:v>
                </c:pt>
              </c:strCache>
            </c:strRef>
          </c:cat>
          <c:val>
            <c:numRef>
              <c:f>Hoja2!$B$7:$B$17</c:f>
              <c:numCache>
                <c:formatCode>General</c:formatCode>
                <c:ptCount val="10"/>
                <c:pt idx="0">
                  <c:v>7.5999999999999943</c:v>
                </c:pt>
                <c:pt idx="1">
                  <c:v>4.9000000000000057</c:v>
                </c:pt>
                <c:pt idx="2">
                  <c:v>2.9000000000000057</c:v>
                </c:pt>
                <c:pt idx="3">
                  <c:v>4.0999999999999943</c:v>
                </c:pt>
                <c:pt idx="4">
                  <c:v>13</c:v>
                </c:pt>
                <c:pt idx="5">
                  <c:v>8.0999999999999943</c:v>
                </c:pt>
                <c:pt idx="6">
                  <c:v>9.1000000000000227</c:v>
                </c:pt>
                <c:pt idx="7">
                  <c:v>8.8000000000000114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3-4C89-927F-2BBF8EAA8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18015"/>
        <c:axId val="174614175"/>
      </c:barChart>
      <c:catAx>
        <c:axId val="17461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4614175"/>
        <c:crosses val="autoZero"/>
        <c:auto val="1"/>
        <c:lblAlgn val="ctr"/>
        <c:lblOffset val="100"/>
        <c:noMultiLvlLbl val="0"/>
      </c:catAx>
      <c:valAx>
        <c:axId val="1746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4618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[control_horometro_flota.xlsx]Hoja2!TablaDinámica2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Evolución de Horas por equipo</a:t>
            </a:r>
          </a:p>
        </c:rich>
      </c:tx>
      <c:layout>
        <c:manualLayout>
          <c:xMode val="edge"/>
          <c:yMode val="edge"/>
          <c:x val="0.30690266841644792"/>
          <c:y val="9.5180810731991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48381452318461"/>
          <c:y val="0.24837525517643624"/>
          <c:w val="0.62315485564304463"/>
          <c:h val="0.47375218722659668"/>
        </c:manualLayout>
      </c:layout>
      <c:lineChart>
        <c:grouping val="standard"/>
        <c:varyColors val="0"/>
        <c:ser>
          <c:idx val="0"/>
          <c:order val="0"/>
          <c:tx>
            <c:strRef>
              <c:f>Hoja2!$B$26:$B$27</c:f>
              <c:strCache>
                <c:ptCount val="1"/>
                <c:pt idx="0">
                  <c:v>461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Hoja2!$A$28:$A$33</c:f>
              <c:strCache>
                <c:ptCount val="5"/>
                <c:pt idx="0">
                  <c:v>27-10-2025</c:v>
                </c:pt>
                <c:pt idx="1">
                  <c:v>28-10-2025</c:v>
                </c:pt>
                <c:pt idx="2">
                  <c:v>29-10-2025</c:v>
                </c:pt>
                <c:pt idx="3">
                  <c:v>30-10-2025</c:v>
                </c:pt>
                <c:pt idx="4">
                  <c:v>31-10-2025</c:v>
                </c:pt>
              </c:strCache>
            </c:strRef>
          </c:cat>
          <c:val>
            <c:numRef>
              <c:f>Hoja2!$B$28:$B$33</c:f>
              <c:numCache>
                <c:formatCode>General</c:formatCode>
                <c:ptCount val="5"/>
                <c:pt idx="0">
                  <c:v>2</c:v>
                </c:pt>
                <c:pt idx="1">
                  <c:v>0.20000000000000284</c:v>
                </c:pt>
                <c:pt idx="2">
                  <c:v>0</c:v>
                </c:pt>
                <c:pt idx="3">
                  <c:v>0.70000000000000284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0-4518-AF5C-854B8E65E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223952927"/>
        <c:axId val="223954367"/>
      </c:lineChart>
      <c:dateAx>
        <c:axId val="22395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3954367"/>
        <c:crosses val="autoZero"/>
        <c:auto val="0"/>
        <c:lblOffset val="100"/>
        <c:baseTimeUnit val="days"/>
      </c:dateAx>
      <c:valAx>
        <c:axId val="2239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Horómetro Diario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39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9131205673759"/>
          <c:y val="0.21819225721784777"/>
          <c:w val="0.1163563829787234"/>
          <c:h val="0.70030832438558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</xdr:row>
      <xdr:rowOff>34290</xdr:rowOff>
    </xdr:from>
    <xdr:to>
      <xdr:col>12</xdr:col>
      <xdr:colOff>784860</xdr:colOff>
      <xdr:row>15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8AE86C-BBC4-24C0-1C7D-766B2FA7F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11430</xdr:rowOff>
    </xdr:from>
    <xdr:to>
      <xdr:col>10</xdr:col>
      <xdr:colOff>373380</xdr:colOff>
      <xdr:row>52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C23550-2EA4-4576-3DDC-74BB6BE19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769620</xdr:colOff>
      <xdr:row>1</xdr:row>
      <xdr:rowOff>137160</xdr:rowOff>
    </xdr:from>
    <xdr:to>
      <xdr:col>3</xdr:col>
      <xdr:colOff>784860</xdr:colOff>
      <xdr:row>3</xdr:row>
      <xdr:rowOff>22860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76B6983-4259-4E7B-DBBF-F4D4C46EF0A0}"/>
            </a:ext>
          </a:extLst>
        </xdr:cNvPr>
        <xdr:cNvSpPr/>
      </xdr:nvSpPr>
      <xdr:spPr>
        <a:xfrm>
          <a:off x="769620" y="320040"/>
          <a:ext cx="2392680" cy="251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/>
            <a:t>Total Horas Diarias de la Dotación</a:t>
          </a:r>
        </a:p>
      </xdr:txBody>
    </xdr:sp>
    <xdr:clientData/>
  </xdr:twoCellAnchor>
  <xdr:twoCellAnchor>
    <xdr:from>
      <xdr:col>1</xdr:col>
      <xdr:colOff>0</xdr:colOff>
      <xdr:row>8</xdr:row>
      <xdr:rowOff>167640</xdr:rowOff>
    </xdr:from>
    <xdr:to>
      <xdr:col>9</xdr:col>
      <xdr:colOff>15240</xdr:colOff>
      <xdr:row>23</xdr:row>
      <xdr:rowOff>125730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757261-95CD-4EF7-90DE-FB342CB70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18</xdr:col>
      <xdr:colOff>182880</xdr:colOff>
      <xdr:row>23</xdr:row>
      <xdr:rowOff>121920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238B205-4FAE-4D6E-9A4F-1210534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1</xdr:row>
      <xdr:rowOff>121920</xdr:rowOff>
    </xdr:from>
    <xdr:to>
      <xdr:col>14</xdr:col>
      <xdr:colOff>198120</xdr:colOff>
      <xdr:row>3</xdr:row>
      <xdr:rowOff>7620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C88D2F8-CF40-46BD-8087-294F8F4B8703}"/>
            </a:ext>
          </a:extLst>
        </xdr:cNvPr>
        <xdr:cNvSpPr/>
      </xdr:nvSpPr>
      <xdr:spPr>
        <a:xfrm>
          <a:off x="6469380" y="304800"/>
          <a:ext cx="2567940" cy="2514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="1"/>
            <a:t>Total Horas Acumuladas de la Dotación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FP Candelaria2" refreshedDate="45965.625971875001" createdVersion="8" refreshedVersion="8" minRefreshableVersion="3" recordCount="999" xr:uid="{ED2CCECC-6D92-4BF9-881E-3C9BFA8B7243}">
  <cacheSource type="worksheet">
    <worksheetSource name="tbl_registro"/>
  </cacheSource>
  <cacheFields count="12">
    <cacheField name="Fecha" numFmtId="0">
      <sharedItems containsNonDate="0" containsDate="1" containsString="0" containsBlank="1" minDate="2025-10-23T00:00:00" maxDate="2025-12-01T00:00:00" count="13">
        <d v="2025-10-27T00:00:00"/>
        <d v="2025-10-28T00:00:00"/>
        <d v="2025-10-29T00:00:00"/>
        <d v="2025-10-30T00:00:00"/>
        <d v="2025-10-31T00:00:00"/>
        <d v="2025-11-01T00:00:00"/>
        <d v="2025-11-02T00:00:00"/>
        <m/>
        <d v="2025-11-30T00:00:00" u="1"/>
        <d v="2025-10-26T00:00:00" u="1"/>
        <d v="2025-10-25T00:00:00" u="1"/>
        <d v="2025-10-24T00:00:00" u="1"/>
        <d v="2025-10-23T00:00:00" u="1"/>
      </sharedItems>
    </cacheField>
    <cacheField name="Mes" numFmtId="0">
      <sharedItems containsBlank="1" count="3">
        <s v="Octubre"/>
        <s v="Noviembre"/>
        <m/>
      </sharedItems>
    </cacheField>
    <cacheField name="N° Interno" numFmtId="0">
      <sharedItems containsBlank="1"/>
    </cacheField>
    <cacheField name="Patente" numFmtId="0">
      <sharedItems containsBlank="1" containsMixedTypes="1" containsNumber="1" containsInteger="1" minValue="459" maxValue="475" count="26">
        <s v="UFJK-52"/>
        <s v="VRRF-41"/>
        <s v="VFJK 42"/>
        <s v="VFJK 51"/>
        <s v="VFJK 52"/>
        <s v="VFJK 55"/>
        <s v="VFJK 56"/>
        <s v="VFJK 57"/>
        <s v="VFJK 61"/>
        <n v="465"/>
        <n v="466"/>
        <n v="461"/>
        <n v="462"/>
        <n v="463"/>
        <n v="464"/>
        <n v="459"/>
        <n v="460"/>
        <n v="475"/>
        <n v="467"/>
        <s v="VCYC-50"/>
        <s v="VCYC-53"/>
        <s v="VCYC-51"/>
        <s v="VCYC-52"/>
        <s v="HHBL-29"/>
        <s v="VFZG 96"/>
        <m/>
      </sharedItems>
    </cacheField>
    <cacheField name="Tipo Equipo" numFmtId="0">
      <sharedItems containsBlank="1" count="13">
        <s v="CAMIONETA"/>
        <s v="FURGON PEUGEOT"/>
        <s v="GRUA HORQUILLA 16 TON"/>
        <s v="GRUA HORQUILLA 7 TON"/>
        <s v="GRUA HORQUILLA 3 TON"/>
        <s v="GRUA HORQUILLA 3.5 TON ELECTRICA"/>
        <s v="GRUA HORQUILLA 2.5 TON ELECTRICA"/>
        <s v="TRACTO CAMIONES 28TN (RAMPLA)"/>
        <s v="TRACTO PARA CAMA BAJA 25 y 40 TON"/>
        <s v="TRACTO PARA CAMA BAJA 60 y 100 TON"/>
        <s v="CAMIÓN 10 TON"/>
        <e v="#N/A"/>
        <m u="1"/>
      </sharedItems>
    </cacheField>
    <cacheField name="Equipo" numFmtId="0">
      <sharedItems count="8">
        <s v="Camioneta"/>
        <s v="Furgón"/>
        <s v="Grua"/>
        <s v="Tracto Camión"/>
        <s v="Camión Plano"/>
        <e v="#N/A"/>
        <s v="Gruaón" u="1"/>
        <s v="Cama Baja" u="1"/>
      </sharedItems>
    </cacheField>
    <cacheField name="Lugar/Área" numFmtId="0">
      <sharedItems containsBlank="1"/>
    </cacheField>
    <cacheField name="Horómetro Inicial" numFmtId="0">
      <sharedItems containsString="0" containsBlank="1" containsNumber="1" minValue="49" maxValue="227850"/>
    </cacheField>
    <cacheField name="Horómetro Final" numFmtId="0">
      <sharedItems containsString="0" containsBlank="1" containsNumber="1" minValue="50" maxValue="227850"/>
    </cacheField>
    <cacheField name="HD/KM" numFmtId="0">
      <sharedItems containsSemiMixedTypes="0" containsString="0" containsNumber="1" minValue="0" maxValue="415.60000000000036"/>
    </cacheField>
    <cacheField name="Operador/Turno" numFmtId="0">
      <sharedItems containsBlank="1" count="9">
        <s v="Freddy Méndez"/>
        <m/>
        <s v="Bastian" u="1"/>
        <s v="Jordan" u="1"/>
        <s v="Carlos Tapia" u="1"/>
        <s v="Ramon" u="1"/>
        <s v="Willyam" u="1"/>
        <s v="René" u="1"/>
        <s v="Aladin" u="1"/>
      </sharedItems>
    </cacheField>
    <cacheField name="Observac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m/>
    <x v="0"/>
    <x v="0"/>
    <x v="0"/>
    <s v="Candelaria"/>
    <n v="2977"/>
    <n v="3019"/>
    <n v="42"/>
    <x v="0"/>
    <m/>
  </r>
  <r>
    <x v="1"/>
    <x v="0"/>
    <m/>
    <x v="0"/>
    <x v="0"/>
    <x v="0"/>
    <s v="Candelaria"/>
    <n v="3019"/>
    <n v="3030"/>
    <n v="11"/>
    <x v="0"/>
    <m/>
  </r>
  <r>
    <x v="2"/>
    <x v="0"/>
    <m/>
    <x v="0"/>
    <x v="0"/>
    <x v="0"/>
    <s v="Candelaria"/>
    <n v="3030"/>
    <n v="3080"/>
    <n v="50"/>
    <x v="0"/>
    <m/>
  </r>
  <r>
    <x v="2"/>
    <x v="0"/>
    <s v="EX-6791"/>
    <x v="1"/>
    <x v="1"/>
    <x v="1"/>
    <m/>
    <n v="7150"/>
    <n v="7222"/>
    <n v="72"/>
    <x v="1"/>
    <m/>
  </r>
  <r>
    <x v="2"/>
    <x v="0"/>
    <s v="EX-6789"/>
    <x v="2"/>
    <x v="0"/>
    <x v="0"/>
    <m/>
    <n v="3300"/>
    <n v="3404"/>
    <n v="104"/>
    <x v="1"/>
    <m/>
  </r>
  <r>
    <x v="2"/>
    <x v="0"/>
    <s v="EX-6787"/>
    <x v="3"/>
    <x v="0"/>
    <x v="0"/>
    <m/>
    <n v="7400"/>
    <n v="7497"/>
    <n v="97"/>
    <x v="1"/>
    <m/>
  </r>
  <r>
    <x v="2"/>
    <x v="0"/>
    <s v="EX-6788"/>
    <x v="4"/>
    <x v="0"/>
    <x v="0"/>
    <m/>
    <n v="3000"/>
    <n v="3050"/>
    <n v="50"/>
    <x v="1"/>
    <m/>
  </r>
  <r>
    <x v="2"/>
    <x v="0"/>
    <s v="EX-6790"/>
    <x v="5"/>
    <x v="0"/>
    <x v="0"/>
    <m/>
    <n v="7500"/>
    <n v="7535"/>
    <n v="35"/>
    <x v="1"/>
    <m/>
  </r>
  <r>
    <x v="2"/>
    <x v="0"/>
    <s v="EX-6784"/>
    <x v="6"/>
    <x v="0"/>
    <x v="0"/>
    <m/>
    <n v="4300"/>
    <n v="4407"/>
    <n v="107"/>
    <x v="1"/>
    <m/>
  </r>
  <r>
    <x v="2"/>
    <x v="0"/>
    <s v="EX-6786"/>
    <x v="7"/>
    <x v="0"/>
    <x v="0"/>
    <m/>
    <n v="3255"/>
    <n v="3368"/>
    <n v="113"/>
    <x v="1"/>
    <m/>
  </r>
  <r>
    <x v="2"/>
    <x v="0"/>
    <s v="EX-6785"/>
    <x v="8"/>
    <x v="0"/>
    <x v="0"/>
    <m/>
    <n v="4400"/>
    <n v="4462"/>
    <n v="62"/>
    <x v="1"/>
    <m/>
  </r>
  <r>
    <x v="0"/>
    <x v="0"/>
    <s v="EX-6792"/>
    <x v="9"/>
    <x v="2"/>
    <x v="2"/>
    <m/>
    <n v="290"/>
    <n v="291.3"/>
    <n v="1.3000000000000114"/>
    <x v="1"/>
    <m/>
  </r>
  <r>
    <x v="0"/>
    <x v="0"/>
    <s v="EX-6793"/>
    <x v="10"/>
    <x v="2"/>
    <x v="2"/>
    <m/>
    <n v="270"/>
    <n v="272.8"/>
    <n v="2.8000000000000114"/>
    <x v="1"/>
    <m/>
  </r>
  <r>
    <x v="0"/>
    <x v="0"/>
    <s v="EX-6794"/>
    <x v="11"/>
    <x v="3"/>
    <x v="2"/>
    <m/>
    <n v="62"/>
    <n v="64"/>
    <n v="2"/>
    <x v="1"/>
    <m/>
  </r>
  <r>
    <x v="0"/>
    <x v="0"/>
    <s v="EX-6795"/>
    <x v="12"/>
    <x v="3"/>
    <x v="2"/>
    <m/>
    <n v="199"/>
    <n v="200"/>
    <n v="1"/>
    <x v="1"/>
    <m/>
  </r>
  <r>
    <x v="0"/>
    <x v="0"/>
    <s v="EX-6796"/>
    <x v="13"/>
    <x v="3"/>
    <x v="2"/>
    <m/>
    <n v="157"/>
    <n v="158.6"/>
    <n v="1.5999999999999943"/>
    <x v="1"/>
    <m/>
  </r>
  <r>
    <x v="0"/>
    <x v="0"/>
    <s v="EX-6797"/>
    <x v="14"/>
    <x v="3"/>
    <x v="2"/>
    <m/>
    <n v="149"/>
    <n v="151"/>
    <n v="2"/>
    <x v="1"/>
    <m/>
  </r>
  <r>
    <x v="0"/>
    <x v="0"/>
    <s v="EX-6798"/>
    <x v="15"/>
    <x v="4"/>
    <x v="2"/>
    <m/>
    <n v="116"/>
    <n v="118"/>
    <n v="2"/>
    <x v="1"/>
    <m/>
  </r>
  <r>
    <x v="0"/>
    <x v="0"/>
    <s v="EX-6799"/>
    <x v="16"/>
    <x v="4"/>
    <x v="2"/>
    <m/>
    <n v="149"/>
    <n v="151.1"/>
    <n v="2.0999999999999943"/>
    <x v="1"/>
    <m/>
  </r>
  <r>
    <x v="0"/>
    <x v="0"/>
    <s v="EX-6800"/>
    <x v="17"/>
    <x v="5"/>
    <x v="2"/>
    <m/>
    <n v="49"/>
    <n v="50"/>
    <n v="1"/>
    <x v="1"/>
    <m/>
  </r>
  <r>
    <x v="0"/>
    <x v="0"/>
    <s v="EX-6801"/>
    <x v="18"/>
    <x v="6"/>
    <x v="2"/>
    <m/>
    <n v="193"/>
    <n v="195"/>
    <n v="2"/>
    <x v="1"/>
    <m/>
  </r>
  <r>
    <x v="1"/>
    <x v="0"/>
    <s v="EX-6792"/>
    <x v="9"/>
    <x v="2"/>
    <x v="2"/>
    <m/>
    <n v="291.3"/>
    <n v="292"/>
    <n v="0.69999999999998863"/>
    <x v="1"/>
    <m/>
  </r>
  <r>
    <x v="1"/>
    <x v="0"/>
    <s v="EX-6793"/>
    <x v="10"/>
    <x v="2"/>
    <x v="2"/>
    <m/>
    <n v="272.8"/>
    <n v="275"/>
    <n v="2.1999999999999886"/>
    <x v="1"/>
    <m/>
  </r>
  <r>
    <x v="1"/>
    <x v="0"/>
    <s v="EX-6794"/>
    <x v="11"/>
    <x v="3"/>
    <x v="2"/>
    <m/>
    <n v="64"/>
    <n v="64.2"/>
    <n v="0.20000000000000284"/>
    <x v="1"/>
    <m/>
  </r>
  <r>
    <x v="1"/>
    <x v="0"/>
    <s v="EX-6795"/>
    <x v="12"/>
    <x v="3"/>
    <x v="2"/>
    <m/>
    <n v="200"/>
    <n v="200.5"/>
    <n v="0.5"/>
    <x v="1"/>
    <m/>
  </r>
  <r>
    <x v="1"/>
    <x v="0"/>
    <s v="EX-6796"/>
    <x v="13"/>
    <x v="3"/>
    <x v="2"/>
    <m/>
    <n v="158.6"/>
    <n v="162.69999999999999"/>
    <n v="4.0999999999999943"/>
    <x v="1"/>
    <m/>
  </r>
  <r>
    <x v="1"/>
    <x v="0"/>
    <s v="EX-6797"/>
    <x v="14"/>
    <x v="3"/>
    <x v="2"/>
    <m/>
    <n v="151"/>
    <n v="151.5"/>
    <n v="0.5"/>
    <x v="1"/>
    <m/>
  </r>
  <r>
    <x v="1"/>
    <x v="0"/>
    <s v="EX-6798"/>
    <x v="15"/>
    <x v="4"/>
    <x v="2"/>
    <m/>
    <n v="118"/>
    <n v="118.6"/>
    <n v="0.59999999999999432"/>
    <x v="1"/>
    <m/>
  </r>
  <r>
    <x v="1"/>
    <x v="0"/>
    <s v="EX-6799"/>
    <x v="16"/>
    <x v="4"/>
    <x v="2"/>
    <m/>
    <n v="151.1"/>
    <n v="151.5"/>
    <n v="0.40000000000000568"/>
    <x v="1"/>
    <m/>
  </r>
  <r>
    <x v="1"/>
    <x v="0"/>
    <s v="EX-6800"/>
    <x v="17"/>
    <x v="5"/>
    <x v="2"/>
    <m/>
    <n v="50"/>
    <n v="50"/>
    <n v="0"/>
    <x v="1"/>
    <m/>
  </r>
  <r>
    <x v="1"/>
    <x v="0"/>
    <s v="EX-6801"/>
    <x v="18"/>
    <x v="6"/>
    <x v="2"/>
    <m/>
    <n v="195"/>
    <n v="196.7"/>
    <n v="1.6999999999999886"/>
    <x v="1"/>
    <m/>
  </r>
  <r>
    <x v="2"/>
    <x v="0"/>
    <s v="EX-6792"/>
    <x v="9"/>
    <x v="2"/>
    <x v="2"/>
    <m/>
    <n v="292"/>
    <n v="293.10000000000002"/>
    <n v="1.1000000000000227"/>
    <x v="1"/>
    <m/>
  </r>
  <r>
    <x v="2"/>
    <x v="0"/>
    <s v="EX-6793"/>
    <x v="10"/>
    <x v="2"/>
    <x v="2"/>
    <m/>
    <n v="275"/>
    <n v="275"/>
    <n v="0"/>
    <x v="1"/>
    <m/>
  </r>
  <r>
    <x v="2"/>
    <x v="0"/>
    <s v="EX-6794"/>
    <x v="11"/>
    <x v="3"/>
    <x v="2"/>
    <m/>
    <n v="64.2"/>
    <n v="64.2"/>
    <n v="0"/>
    <x v="1"/>
    <m/>
  </r>
  <r>
    <x v="2"/>
    <x v="0"/>
    <s v="EX-6795"/>
    <x v="12"/>
    <x v="3"/>
    <x v="2"/>
    <m/>
    <n v="200.5"/>
    <n v="200.5"/>
    <n v="0"/>
    <x v="1"/>
    <m/>
  </r>
  <r>
    <x v="2"/>
    <x v="0"/>
    <s v="EX-6796"/>
    <x v="13"/>
    <x v="3"/>
    <x v="2"/>
    <m/>
    <n v="162.69999999999999"/>
    <n v="162.80000000000001"/>
    <n v="0.10000000000002274"/>
    <x v="1"/>
    <m/>
  </r>
  <r>
    <x v="2"/>
    <x v="0"/>
    <s v="EX-6797"/>
    <x v="14"/>
    <x v="3"/>
    <x v="2"/>
    <m/>
    <n v="231"/>
    <n v="233.9"/>
    <n v="2.9000000000000057"/>
    <x v="1"/>
    <m/>
  </r>
  <r>
    <x v="2"/>
    <x v="0"/>
    <s v="EX-6798"/>
    <x v="15"/>
    <x v="4"/>
    <x v="2"/>
    <m/>
    <n v="118.6"/>
    <n v="119"/>
    <n v="0.40000000000000568"/>
    <x v="1"/>
    <m/>
  </r>
  <r>
    <x v="2"/>
    <x v="0"/>
    <s v="EX-6799"/>
    <x v="16"/>
    <x v="4"/>
    <x v="2"/>
    <m/>
    <n v="151.5"/>
    <n v="152.4"/>
    <n v="0.90000000000000568"/>
    <x v="1"/>
    <m/>
  </r>
  <r>
    <x v="2"/>
    <x v="0"/>
    <s v="EX-6800"/>
    <x v="17"/>
    <x v="5"/>
    <x v="2"/>
    <m/>
    <n v="50"/>
    <n v="50"/>
    <n v="0"/>
    <x v="1"/>
    <m/>
  </r>
  <r>
    <x v="2"/>
    <x v="0"/>
    <s v="EX-6801"/>
    <x v="18"/>
    <x v="6"/>
    <x v="2"/>
    <m/>
    <n v="196.7"/>
    <n v="197"/>
    <n v="0.30000000000001137"/>
    <x v="1"/>
    <m/>
  </r>
  <r>
    <x v="2"/>
    <x v="0"/>
    <s v="EX6832"/>
    <x v="19"/>
    <x v="7"/>
    <x v="3"/>
    <m/>
    <n v="5500"/>
    <n v="5584"/>
    <n v="84"/>
    <x v="1"/>
    <m/>
  </r>
  <r>
    <x v="2"/>
    <x v="0"/>
    <s v="EX-6804"/>
    <x v="20"/>
    <x v="7"/>
    <x v="3"/>
    <m/>
    <n v="6750"/>
    <n v="6805"/>
    <n v="55"/>
    <x v="1"/>
    <m/>
  </r>
  <r>
    <x v="2"/>
    <x v="0"/>
    <s v="EX-6833"/>
    <x v="21"/>
    <x v="8"/>
    <x v="3"/>
    <m/>
    <n v="9250"/>
    <n v="9337"/>
    <n v="87"/>
    <x v="1"/>
    <m/>
  </r>
  <r>
    <x v="2"/>
    <x v="0"/>
    <s v="EX-6834"/>
    <x v="22"/>
    <x v="8"/>
    <x v="3"/>
    <m/>
    <n v="7480"/>
    <n v="7543"/>
    <n v="63"/>
    <x v="1"/>
    <m/>
  </r>
  <r>
    <x v="2"/>
    <x v="0"/>
    <s v="EX-6802"/>
    <x v="23"/>
    <x v="9"/>
    <x v="3"/>
    <m/>
    <n v="227800"/>
    <n v="227834"/>
    <n v="34"/>
    <x v="1"/>
    <m/>
  </r>
  <r>
    <x v="2"/>
    <x v="0"/>
    <s v="EX-6836"/>
    <x v="24"/>
    <x v="10"/>
    <x v="4"/>
    <m/>
    <n v="5950"/>
    <n v="6014"/>
    <n v="64"/>
    <x v="1"/>
    <m/>
  </r>
  <r>
    <x v="3"/>
    <x v="0"/>
    <s v="EX-6791"/>
    <x v="1"/>
    <x v="1"/>
    <x v="1"/>
    <m/>
    <n v="7222"/>
    <n v="7250"/>
    <n v="28"/>
    <x v="1"/>
    <m/>
  </r>
  <r>
    <x v="3"/>
    <x v="0"/>
    <s v="EX-6789"/>
    <x v="2"/>
    <x v="0"/>
    <x v="0"/>
    <m/>
    <n v="3404"/>
    <n v="3404"/>
    <n v="0"/>
    <x v="1"/>
    <m/>
  </r>
  <r>
    <x v="3"/>
    <x v="0"/>
    <s v="EX-6787"/>
    <x v="3"/>
    <x v="0"/>
    <x v="0"/>
    <m/>
    <n v="7497"/>
    <n v="7551"/>
    <n v="54"/>
    <x v="1"/>
    <m/>
  </r>
  <r>
    <x v="3"/>
    <x v="0"/>
    <s v="EX-6788"/>
    <x v="4"/>
    <x v="0"/>
    <x v="0"/>
    <m/>
    <n v="3050"/>
    <n v="3070"/>
    <n v="20"/>
    <x v="1"/>
    <m/>
  </r>
  <r>
    <x v="3"/>
    <x v="0"/>
    <s v="EX-6790"/>
    <x v="5"/>
    <x v="0"/>
    <x v="0"/>
    <m/>
    <n v="7535"/>
    <n v="7550"/>
    <n v="15"/>
    <x v="1"/>
    <m/>
  </r>
  <r>
    <x v="3"/>
    <x v="0"/>
    <s v="EX-6784"/>
    <x v="6"/>
    <x v="0"/>
    <x v="0"/>
    <m/>
    <n v="4407"/>
    <n v="4461"/>
    <n v="54"/>
    <x v="1"/>
    <m/>
  </r>
  <r>
    <x v="3"/>
    <x v="0"/>
    <s v="EX-6786"/>
    <x v="7"/>
    <x v="0"/>
    <x v="0"/>
    <m/>
    <n v="3368"/>
    <n v="3389"/>
    <n v="21"/>
    <x v="1"/>
    <m/>
  </r>
  <r>
    <x v="3"/>
    <x v="0"/>
    <s v="EX-6785"/>
    <x v="8"/>
    <x v="0"/>
    <x v="0"/>
    <m/>
    <n v="4462"/>
    <n v="4523"/>
    <n v="61"/>
    <x v="1"/>
    <m/>
  </r>
  <r>
    <x v="4"/>
    <x v="0"/>
    <s v="EX-6791"/>
    <x v="1"/>
    <x v="1"/>
    <x v="1"/>
    <m/>
    <n v="7250"/>
    <n v="7250"/>
    <n v="0"/>
    <x v="1"/>
    <m/>
  </r>
  <r>
    <x v="4"/>
    <x v="0"/>
    <s v="EX-6789"/>
    <x v="2"/>
    <x v="0"/>
    <x v="0"/>
    <m/>
    <n v="3404"/>
    <n v="3509.5"/>
    <n v="105.5"/>
    <x v="1"/>
    <m/>
  </r>
  <r>
    <x v="4"/>
    <x v="0"/>
    <s v="EX-6787"/>
    <x v="3"/>
    <x v="0"/>
    <x v="0"/>
    <m/>
    <n v="7551"/>
    <n v="7836"/>
    <n v="285"/>
    <x v="1"/>
    <m/>
  </r>
  <r>
    <x v="4"/>
    <x v="0"/>
    <s v="EX-6788"/>
    <x v="4"/>
    <x v="0"/>
    <x v="0"/>
    <m/>
    <n v="3070"/>
    <n v="3070"/>
    <n v="0"/>
    <x v="1"/>
    <m/>
  </r>
  <r>
    <x v="4"/>
    <x v="0"/>
    <s v="EX-6790"/>
    <x v="5"/>
    <x v="0"/>
    <x v="0"/>
    <m/>
    <n v="7550"/>
    <n v="7550"/>
    <n v="0"/>
    <x v="1"/>
    <m/>
  </r>
  <r>
    <x v="4"/>
    <x v="0"/>
    <s v="EX-6784"/>
    <x v="6"/>
    <x v="0"/>
    <x v="0"/>
    <m/>
    <n v="4461"/>
    <n v="4699"/>
    <n v="238"/>
    <x v="1"/>
    <m/>
  </r>
  <r>
    <x v="4"/>
    <x v="0"/>
    <s v="EX-6786"/>
    <x v="7"/>
    <x v="0"/>
    <x v="0"/>
    <m/>
    <n v="3389"/>
    <n v="3412.5"/>
    <n v="23.5"/>
    <x v="1"/>
    <m/>
  </r>
  <r>
    <x v="4"/>
    <x v="0"/>
    <s v="EX-6785"/>
    <x v="8"/>
    <x v="0"/>
    <x v="0"/>
    <m/>
    <n v="4523"/>
    <n v="4593"/>
    <n v="70"/>
    <x v="1"/>
    <m/>
  </r>
  <r>
    <x v="5"/>
    <x v="1"/>
    <s v="EX-6791"/>
    <x v="1"/>
    <x v="1"/>
    <x v="1"/>
    <m/>
    <n v="7250"/>
    <n v="7250"/>
    <n v="0"/>
    <x v="1"/>
    <m/>
  </r>
  <r>
    <x v="5"/>
    <x v="1"/>
    <s v="EX-6789"/>
    <x v="2"/>
    <x v="0"/>
    <x v="0"/>
    <m/>
    <n v="3509.5"/>
    <n v="3509.5"/>
    <n v="0"/>
    <x v="1"/>
    <m/>
  </r>
  <r>
    <x v="5"/>
    <x v="1"/>
    <s v="EX-6787"/>
    <x v="3"/>
    <x v="0"/>
    <x v="0"/>
    <m/>
    <n v="7836"/>
    <n v="7910"/>
    <n v="74"/>
    <x v="1"/>
    <m/>
  </r>
  <r>
    <x v="5"/>
    <x v="1"/>
    <s v="EX-6788"/>
    <x v="4"/>
    <x v="0"/>
    <x v="0"/>
    <m/>
    <n v="3070"/>
    <n v="3263"/>
    <n v="193"/>
    <x v="1"/>
    <m/>
  </r>
  <r>
    <x v="5"/>
    <x v="1"/>
    <s v="EX-6790"/>
    <x v="5"/>
    <x v="0"/>
    <x v="0"/>
    <m/>
    <n v="7550"/>
    <n v="7550"/>
    <n v="0"/>
    <x v="1"/>
    <m/>
  </r>
  <r>
    <x v="5"/>
    <x v="1"/>
    <s v="EX-6784"/>
    <x v="6"/>
    <x v="0"/>
    <x v="0"/>
    <m/>
    <n v="4699"/>
    <n v="4732"/>
    <n v="33"/>
    <x v="1"/>
    <m/>
  </r>
  <r>
    <x v="5"/>
    <x v="1"/>
    <s v="EX-6786"/>
    <x v="7"/>
    <x v="0"/>
    <x v="0"/>
    <m/>
    <n v="3412.5"/>
    <n v="3412.5"/>
    <n v="0"/>
    <x v="1"/>
    <m/>
  </r>
  <r>
    <x v="5"/>
    <x v="1"/>
    <s v="EX-6785"/>
    <x v="8"/>
    <x v="0"/>
    <x v="0"/>
    <m/>
    <n v="4593"/>
    <n v="4646"/>
    <n v="53"/>
    <x v="1"/>
    <m/>
  </r>
  <r>
    <x v="6"/>
    <x v="1"/>
    <s v="EX-6791"/>
    <x v="1"/>
    <x v="1"/>
    <x v="1"/>
    <m/>
    <n v="7250"/>
    <n v="7250"/>
    <n v="0"/>
    <x v="1"/>
    <m/>
  </r>
  <r>
    <x v="6"/>
    <x v="1"/>
    <s v="EX-6789"/>
    <x v="2"/>
    <x v="0"/>
    <x v="0"/>
    <m/>
    <n v="3509.5"/>
    <n v="3509.5"/>
    <n v="0"/>
    <x v="1"/>
    <m/>
  </r>
  <r>
    <x v="6"/>
    <x v="1"/>
    <s v="EX-6787"/>
    <x v="3"/>
    <x v="0"/>
    <x v="0"/>
    <m/>
    <n v="7910"/>
    <n v="8016"/>
    <n v="106"/>
    <x v="1"/>
    <m/>
  </r>
  <r>
    <x v="6"/>
    <x v="1"/>
    <s v="EX-6788"/>
    <x v="4"/>
    <x v="0"/>
    <x v="0"/>
    <m/>
    <n v="3263"/>
    <n v="3265.2"/>
    <n v="2.1999999999998181"/>
    <x v="1"/>
    <m/>
  </r>
  <r>
    <x v="6"/>
    <x v="1"/>
    <s v="EX-6790"/>
    <x v="5"/>
    <x v="0"/>
    <x v="0"/>
    <m/>
    <n v="7550"/>
    <n v="7550"/>
    <n v="0"/>
    <x v="1"/>
    <m/>
  </r>
  <r>
    <x v="6"/>
    <x v="1"/>
    <s v="EX-6784"/>
    <x v="6"/>
    <x v="0"/>
    <x v="0"/>
    <m/>
    <n v="4732"/>
    <n v="4732"/>
    <n v="0"/>
    <x v="1"/>
    <m/>
  </r>
  <r>
    <x v="6"/>
    <x v="1"/>
    <s v="EX-6786"/>
    <x v="7"/>
    <x v="0"/>
    <x v="0"/>
    <m/>
    <n v="3412.5"/>
    <n v="3412.5"/>
    <n v="0"/>
    <x v="1"/>
    <m/>
  </r>
  <r>
    <x v="6"/>
    <x v="1"/>
    <s v="EX-6785"/>
    <x v="8"/>
    <x v="0"/>
    <x v="0"/>
    <m/>
    <n v="4646"/>
    <n v="4692"/>
    <n v="46"/>
    <x v="1"/>
    <m/>
  </r>
  <r>
    <x v="3"/>
    <x v="0"/>
    <s v="EX-6792"/>
    <x v="9"/>
    <x v="2"/>
    <x v="2"/>
    <m/>
    <n v="293.10000000000002"/>
    <n v="299.10000000000002"/>
    <n v="6"/>
    <x v="1"/>
    <m/>
  </r>
  <r>
    <x v="3"/>
    <x v="0"/>
    <s v="EX-6793"/>
    <x v="10"/>
    <x v="2"/>
    <x v="2"/>
    <m/>
    <n v="275"/>
    <n v="278.8"/>
    <n v="3.8000000000000114"/>
    <x v="1"/>
    <m/>
  </r>
  <r>
    <x v="3"/>
    <x v="0"/>
    <s v="EX-6794"/>
    <x v="11"/>
    <x v="3"/>
    <x v="2"/>
    <m/>
    <n v="64.2"/>
    <n v="64.900000000000006"/>
    <n v="0.70000000000000284"/>
    <x v="1"/>
    <m/>
  </r>
  <r>
    <x v="3"/>
    <x v="0"/>
    <s v="EX-6795"/>
    <x v="12"/>
    <x v="3"/>
    <x v="2"/>
    <m/>
    <n v="200.5"/>
    <n v="200.6"/>
    <n v="9.9999999999994316E-2"/>
    <x v="1"/>
    <m/>
  </r>
  <r>
    <x v="3"/>
    <x v="0"/>
    <s v="EX-6796"/>
    <x v="13"/>
    <x v="3"/>
    <x v="2"/>
    <m/>
    <n v="162.80000000000001"/>
    <n v="170"/>
    <n v="7.1999999999999886"/>
    <x v="1"/>
    <m/>
  </r>
  <r>
    <x v="3"/>
    <x v="0"/>
    <s v="EX-6797"/>
    <x v="14"/>
    <x v="3"/>
    <x v="2"/>
    <m/>
    <n v="233.9"/>
    <n v="234.1"/>
    <n v="0.19999999999998863"/>
    <x v="1"/>
    <m/>
  </r>
  <r>
    <x v="3"/>
    <x v="0"/>
    <s v="EX-6798"/>
    <x v="15"/>
    <x v="4"/>
    <x v="2"/>
    <m/>
    <n v="119"/>
    <n v="120"/>
    <n v="1"/>
    <x v="1"/>
    <m/>
  </r>
  <r>
    <x v="3"/>
    <x v="0"/>
    <s v="EX-6799"/>
    <x v="16"/>
    <x v="4"/>
    <x v="2"/>
    <m/>
    <n v="152.4"/>
    <n v="153.19999999999999"/>
    <n v="0.79999999999998295"/>
    <x v="1"/>
    <m/>
  </r>
  <r>
    <x v="3"/>
    <x v="0"/>
    <s v="EX-6800"/>
    <x v="17"/>
    <x v="5"/>
    <x v="2"/>
    <m/>
    <n v="50"/>
    <n v="53"/>
    <n v="3"/>
    <x v="1"/>
    <m/>
  </r>
  <r>
    <x v="3"/>
    <x v="0"/>
    <s v="EX-6801"/>
    <x v="18"/>
    <x v="6"/>
    <x v="2"/>
    <m/>
    <n v="197"/>
    <n v="198"/>
    <n v="1"/>
    <x v="1"/>
    <m/>
  </r>
  <r>
    <x v="4"/>
    <x v="0"/>
    <s v="EX-6792"/>
    <x v="9"/>
    <x v="2"/>
    <x v="2"/>
    <m/>
    <n v="299.10000000000002"/>
    <n v="299.10000000000002"/>
    <n v="0"/>
    <x v="1"/>
    <m/>
  </r>
  <r>
    <x v="4"/>
    <x v="0"/>
    <s v="EX-6793"/>
    <x v="10"/>
    <x v="2"/>
    <x v="2"/>
    <m/>
    <n v="278.8"/>
    <n v="278.8"/>
    <n v="0"/>
    <x v="1"/>
    <m/>
  </r>
  <r>
    <x v="4"/>
    <x v="0"/>
    <s v="EX-6794"/>
    <x v="11"/>
    <x v="3"/>
    <x v="2"/>
    <m/>
    <n v="64.900000000000006"/>
    <n v="64.900000000000006"/>
    <n v="0"/>
    <x v="1"/>
    <m/>
  </r>
  <r>
    <x v="4"/>
    <x v="0"/>
    <s v="EX-6795"/>
    <x v="12"/>
    <x v="3"/>
    <x v="2"/>
    <m/>
    <n v="200.6"/>
    <n v="203.1"/>
    <n v="2.5"/>
    <x v="1"/>
    <m/>
  </r>
  <r>
    <x v="4"/>
    <x v="0"/>
    <s v="EX-6796"/>
    <x v="13"/>
    <x v="3"/>
    <x v="2"/>
    <m/>
    <n v="170"/>
    <n v="170"/>
    <n v="0"/>
    <x v="1"/>
    <m/>
  </r>
  <r>
    <x v="4"/>
    <x v="0"/>
    <s v="EX-6797"/>
    <x v="14"/>
    <x v="3"/>
    <x v="2"/>
    <m/>
    <n v="234.1"/>
    <n v="236.6"/>
    <n v="2.5"/>
    <x v="1"/>
    <m/>
  </r>
  <r>
    <x v="4"/>
    <x v="0"/>
    <s v="EX-6798"/>
    <x v="15"/>
    <x v="4"/>
    <x v="2"/>
    <m/>
    <n v="120"/>
    <n v="123.6"/>
    <n v="3.5999999999999943"/>
    <x v="1"/>
    <m/>
  </r>
  <r>
    <x v="4"/>
    <x v="0"/>
    <s v="EX-6799"/>
    <x v="16"/>
    <x v="4"/>
    <x v="2"/>
    <m/>
    <n v="153.19999999999999"/>
    <n v="153.9"/>
    <n v="0.70000000000001705"/>
    <x v="1"/>
    <m/>
  </r>
  <r>
    <x v="4"/>
    <x v="0"/>
    <s v="EX-6800"/>
    <x v="17"/>
    <x v="5"/>
    <x v="2"/>
    <m/>
    <n v="53"/>
    <n v="53"/>
    <n v="0"/>
    <x v="1"/>
    <m/>
  </r>
  <r>
    <x v="4"/>
    <x v="0"/>
    <s v="EX-6801"/>
    <x v="18"/>
    <x v="6"/>
    <x v="2"/>
    <m/>
    <n v="198"/>
    <n v="198"/>
    <n v="0"/>
    <x v="1"/>
    <m/>
  </r>
  <r>
    <x v="5"/>
    <x v="1"/>
    <s v="EX-6792"/>
    <x v="9"/>
    <x v="2"/>
    <x v="2"/>
    <m/>
    <n v="299.10000000000002"/>
    <n v="299.10000000000002"/>
    <n v="0"/>
    <x v="1"/>
    <m/>
  </r>
  <r>
    <x v="5"/>
    <x v="1"/>
    <s v="EX-6793"/>
    <x v="10"/>
    <x v="2"/>
    <x v="2"/>
    <m/>
    <n v="278.8"/>
    <n v="278.8"/>
    <n v="0"/>
    <x v="1"/>
    <m/>
  </r>
  <r>
    <x v="5"/>
    <x v="1"/>
    <s v="EX-6794"/>
    <x v="11"/>
    <x v="3"/>
    <x v="2"/>
    <m/>
    <n v="64.900000000000006"/>
    <n v="64.900000000000006"/>
    <n v="0"/>
    <x v="1"/>
    <m/>
  </r>
  <r>
    <x v="5"/>
    <x v="1"/>
    <s v="EX-6795"/>
    <x v="12"/>
    <x v="3"/>
    <x v="2"/>
    <m/>
    <n v="203.1"/>
    <n v="203.5"/>
    <n v="0.40000000000000568"/>
    <x v="1"/>
    <m/>
  </r>
  <r>
    <x v="5"/>
    <x v="1"/>
    <s v="EX-6796"/>
    <x v="13"/>
    <x v="3"/>
    <x v="2"/>
    <m/>
    <n v="170"/>
    <n v="170"/>
    <n v="0"/>
    <x v="1"/>
    <m/>
  </r>
  <r>
    <x v="5"/>
    <x v="1"/>
    <s v="EX-6797"/>
    <x v="14"/>
    <x v="3"/>
    <x v="2"/>
    <m/>
    <n v="236.6"/>
    <n v="238.5"/>
    <n v="1.9000000000000057"/>
    <x v="1"/>
    <m/>
  </r>
  <r>
    <x v="5"/>
    <x v="1"/>
    <s v="EX-6798"/>
    <x v="15"/>
    <x v="4"/>
    <x v="2"/>
    <m/>
    <n v="123.6"/>
    <n v="123.8"/>
    <n v="0.20000000000000284"/>
    <x v="1"/>
    <m/>
  </r>
  <r>
    <x v="5"/>
    <x v="1"/>
    <s v="EX-6799"/>
    <x v="16"/>
    <x v="4"/>
    <x v="2"/>
    <m/>
    <n v="153.9"/>
    <n v="153.9"/>
    <n v="0"/>
    <x v="1"/>
    <m/>
  </r>
  <r>
    <x v="5"/>
    <x v="1"/>
    <s v="EX-6800"/>
    <x v="17"/>
    <x v="5"/>
    <x v="2"/>
    <m/>
    <n v="53"/>
    <n v="54"/>
    <n v="1"/>
    <x v="1"/>
    <m/>
  </r>
  <r>
    <x v="5"/>
    <x v="1"/>
    <s v="EX-6801"/>
    <x v="18"/>
    <x v="6"/>
    <x v="2"/>
    <m/>
    <n v="198"/>
    <n v="198"/>
    <n v="0"/>
    <x v="1"/>
    <m/>
  </r>
  <r>
    <x v="6"/>
    <x v="1"/>
    <s v="EX-6792"/>
    <x v="9"/>
    <x v="2"/>
    <x v="2"/>
    <m/>
    <n v="299.10000000000002"/>
    <n v="299.10000000000002"/>
    <n v="0"/>
    <x v="1"/>
    <m/>
  </r>
  <r>
    <x v="6"/>
    <x v="1"/>
    <s v="EX-6793"/>
    <x v="10"/>
    <x v="2"/>
    <x v="2"/>
    <m/>
    <n v="278.8"/>
    <n v="278.8"/>
    <n v="0"/>
    <x v="1"/>
    <m/>
  </r>
  <r>
    <x v="6"/>
    <x v="1"/>
    <s v="EX-6794"/>
    <x v="11"/>
    <x v="3"/>
    <x v="2"/>
    <m/>
    <n v="64.900000000000006"/>
    <n v="64.900000000000006"/>
    <n v="0"/>
    <x v="1"/>
    <m/>
  </r>
  <r>
    <x v="6"/>
    <x v="1"/>
    <s v="EX-6795"/>
    <x v="12"/>
    <x v="3"/>
    <x v="2"/>
    <m/>
    <n v="203.5"/>
    <n v="203.5"/>
    <n v="0"/>
    <x v="1"/>
    <m/>
  </r>
  <r>
    <x v="6"/>
    <x v="1"/>
    <s v="EX-6796"/>
    <x v="13"/>
    <x v="3"/>
    <x v="2"/>
    <m/>
    <n v="170"/>
    <n v="170"/>
    <n v="0"/>
    <x v="1"/>
    <m/>
  </r>
  <r>
    <x v="6"/>
    <x v="1"/>
    <s v="EX-6797"/>
    <x v="14"/>
    <x v="3"/>
    <x v="2"/>
    <m/>
    <n v="238.5"/>
    <n v="238.5"/>
    <n v="0"/>
    <x v="1"/>
    <m/>
  </r>
  <r>
    <x v="6"/>
    <x v="1"/>
    <s v="EX-6798"/>
    <x v="15"/>
    <x v="4"/>
    <x v="2"/>
    <m/>
    <n v="123.8"/>
    <n v="124"/>
    <n v="0.20000000000000284"/>
    <x v="1"/>
    <m/>
  </r>
  <r>
    <x v="6"/>
    <x v="1"/>
    <s v="EX-6799"/>
    <x v="16"/>
    <x v="4"/>
    <x v="2"/>
    <m/>
    <n v="153.9"/>
    <n v="153.9"/>
    <n v="0"/>
    <x v="1"/>
    <m/>
  </r>
  <r>
    <x v="6"/>
    <x v="1"/>
    <s v="EX-6800"/>
    <x v="17"/>
    <x v="5"/>
    <x v="2"/>
    <m/>
    <n v="54"/>
    <n v="55"/>
    <n v="1"/>
    <x v="1"/>
    <m/>
  </r>
  <r>
    <x v="6"/>
    <x v="1"/>
    <s v="EX-6801"/>
    <x v="18"/>
    <x v="6"/>
    <x v="2"/>
    <m/>
    <n v="198"/>
    <n v="198"/>
    <n v="0"/>
    <x v="1"/>
    <m/>
  </r>
  <r>
    <x v="3"/>
    <x v="0"/>
    <s v="EX6832"/>
    <x v="19"/>
    <x v="7"/>
    <x v="3"/>
    <m/>
    <n v="5584"/>
    <n v="5625"/>
    <n v="41"/>
    <x v="1"/>
    <m/>
  </r>
  <r>
    <x v="3"/>
    <x v="0"/>
    <s v="EX-6804"/>
    <x v="20"/>
    <x v="7"/>
    <x v="3"/>
    <m/>
    <n v="6805"/>
    <n v="6840"/>
    <n v="35"/>
    <x v="1"/>
    <m/>
  </r>
  <r>
    <x v="3"/>
    <x v="0"/>
    <s v="EX-6833"/>
    <x v="21"/>
    <x v="8"/>
    <x v="3"/>
    <m/>
    <n v="9337"/>
    <n v="9387"/>
    <n v="50"/>
    <x v="1"/>
    <m/>
  </r>
  <r>
    <x v="3"/>
    <x v="0"/>
    <s v="EX-6834"/>
    <x v="22"/>
    <x v="8"/>
    <x v="3"/>
    <m/>
    <n v="7543"/>
    <n v="7585"/>
    <n v="42"/>
    <x v="1"/>
    <m/>
  </r>
  <r>
    <x v="3"/>
    <x v="0"/>
    <s v="EX-6802"/>
    <x v="23"/>
    <x v="9"/>
    <x v="3"/>
    <m/>
    <n v="227834"/>
    <n v="227850"/>
    <n v="16"/>
    <x v="1"/>
    <m/>
  </r>
  <r>
    <x v="3"/>
    <x v="0"/>
    <s v="EX-6836"/>
    <x v="24"/>
    <x v="10"/>
    <x v="4"/>
    <m/>
    <n v="6014"/>
    <n v="6030"/>
    <n v="16"/>
    <x v="1"/>
    <m/>
  </r>
  <r>
    <x v="4"/>
    <x v="0"/>
    <s v="EX6832"/>
    <x v="19"/>
    <x v="7"/>
    <x v="3"/>
    <m/>
    <n v="5625"/>
    <n v="5625"/>
    <n v="0"/>
    <x v="1"/>
    <m/>
  </r>
  <r>
    <x v="4"/>
    <x v="0"/>
    <s v="EX-6804"/>
    <x v="20"/>
    <x v="7"/>
    <x v="3"/>
    <m/>
    <n v="6840"/>
    <n v="6840"/>
    <n v="0"/>
    <x v="1"/>
    <m/>
  </r>
  <r>
    <x v="4"/>
    <x v="0"/>
    <s v="EX-6833"/>
    <x v="21"/>
    <x v="8"/>
    <x v="3"/>
    <m/>
    <n v="9387"/>
    <n v="9456"/>
    <n v="69"/>
    <x v="1"/>
    <m/>
  </r>
  <r>
    <x v="4"/>
    <x v="0"/>
    <s v="EX-6834"/>
    <x v="22"/>
    <x v="8"/>
    <x v="3"/>
    <m/>
    <n v="7585"/>
    <n v="7622"/>
    <n v="37"/>
    <x v="1"/>
    <m/>
  </r>
  <r>
    <x v="4"/>
    <x v="0"/>
    <s v="EX-6802"/>
    <x v="23"/>
    <x v="9"/>
    <x v="3"/>
    <m/>
    <n v="227850"/>
    <n v="227850"/>
    <n v="0"/>
    <x v="1"/>
    <m/>
  </r>
  <r>
    <x v="4"/>
    <x v="0"/>
    <s v="EX-6836"/>
    <x v="24"/>
    <x v="10"/>
    <x v="4"/>
    <m/>
    <n v="6030"/>
    <n v="6445.6"/>
    <n v="415.60000000000036"/>
    <x v="1"/>
    <m/>
  </r>
  <r>
    <x v="5"/>
    <x v="1"/>
    <s v="EX6832"/>
    <x v="19"/>
    <x v="7"/>
    <x v="3"/>
    <m/>
    <n v="5625"/>
    <n v="5625"/>
    <n v="0"/>
    <x v="1"/>
    <m/>
  </r>
  <r>
    <x v="5"/>
    <x v="1"/>
    <s v="EX-6804"/>
    <x v="20"/>
    <x v="7"/>
    <x v="3"/>
    <m/>
    <n v="6840"/>
    <n v="6840"/>
    <n v="0"/>
    <x v="1"/>
    <m/>
  </r>
  <r>
    <x v="5"/>
    <x v="1"/>
    <s v="EX-6833"/>
    <x v="21"/>
    <x v="8"/>
    <x v="3"/>
    <m/>
    <n v="9456"/>
    <n v="9507"/>
    <n v="51"/>
    <x v="1"/>
    <m/>
  </r>
  <r>
    <x v="5"/>
    <x v="1"/>
    <s v="EX-6834"/>
    <x v="22"/>
    <x v="8"/>
    <x v="3"/>
    <m/>
    <n v="7622"/>
    <n v="7656"/>
    <n v="34"/>
    <x v="1"/>
    <m/>
  </r>
  <r>
    <x v="5"/>
    <x v="1"/>
    <s v="EX-6802"/>
    <x v="23"/>
    <x v="9"/>
    <x v="3"/>
    <m/>
    <n v="227849"/>
    <n v="227849"/>
    <n v="0"/>
    <x v="1"/>
    <m/>
  </r>
  <r>
    <x v="5"/>
    <x v="1"/>
    <s v="EX-6836"/>
    <x v="24"/>
    <x v="10"/>
    <x v="4"/>
    <m/>
    <n v="6445.6"/>
    <n v="6445.6"/>
    <n v="0"/>
    <x v="1"/>
    <m/>
  </r>
  <r>
    <x v="6"/>
    <x v="1"/>
    <s v="EX6832"/>
    <x v="19"/>
    <x v="7"/>
    <x v="3"/>
    <m/>
    <n v="5625"/>
    <n v="5625"/>
    <n v="0"/>
    <x v="1"/>
    <m/>
  </r>
  <r>
    <x v="6"/>
    <x v="1"/>
    <s v="EX-6804"/>
    <x v="20"/>
    <x v="7"/>
    <x v="3"/>
    <m/>
    <n v="6840"/>
    <n v="6840"/>
    <n v="0"/>
    <x v="1"/>
    <m/>
  </r>
  <r>
    <x v="6"/>
    <x v="1"/>
    <s v="EX-6833"/>
    <x v="21"/>
    <x v="8"/>
    <x v="3"/>
    <m/>
    <n v="9507"/>
    <n v="9507"/>
    <n v="0"/>
    <x v="1"/>
    <m/>
  </r>
  <r>
    <x v="6"/>
    <x v="1"/>
    <s v="EX-6834"/>
    <x v="22"/>
    <x v="8"/>
    <x v="3"/>
    <m/>
    <n v="7656"/>
    <n v="7742"/>
    <n v="86"/>
    <x v="1"/>
    <m/>
  </r>
  <r>
    <x v="6"/>
    <x v="1"/>
    <s v="EX-6802"/>
    <x v="23"/>
    <x v="9"/>
    <x v="3"/>
    <m/>
    <n v="227849"/>
    <n v="227849"/>
    <n v="0"/>
    <x v="1"/>
    <m/>
  </r>
  <r>
    <x v="6"/>
    <x v="1"/>
    <s v="EX-6836"/>
    <x v="24"/>
    <x v="10"/>
    <x v="4"/>
    <m/>
    <n v="6445.6"/>
    <n v="6445.6"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  <r>
    <x v="7"/>
    <x v="2"/>
    <m/>
    <x v="25"/>
    <x v="11"/>
    <x v="5"/>
    <m/>
    <m/>
    <m/>
    <n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009D9-FA15-4462-A3C8-C7335CEAB4E6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atente">
  <location ref="A26:C33" firstHeaderRow="1" firstDataRow="2" firstDataCol="1" rowPageCount="2" colPageCount="1"/>
  <pivotFields count="12">
    <pivotField axis="axisRow" showAll="0">
      <items count="14">
        <item x="0"/>
        <item x="1"/>
        <item h="1" x="7"/>
        <item m="1" x="9"/>
        <item m="1" x="10"/>
        <item m="1" x="11"/>
        <item m="1" x="12"/>
        <item x="2"/>
        <item x="3"/>
        <item x="4"/>
        <item x="5"/>
        <item x="6"/>
        <item m="1" x="8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axis="axisCol" showAll="0">
      <items count="27">
        <item h="1" x="15"/>
        <item h="1" x="16"/>
        <item x="11"/>
        <item h="1" x="12"/>
        <item h="1" x="13"/>
        <item h="1" x="14"/>
        <item h="1" x="9"/>
        <item h="1" x="10"/>
        <item h="1" x="18"/>
        <item h="1" x="2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17"/>
        <item h="1" x="19"/>
        <item h="1" x="20"/>
        <item h="1" x="21"/>
        <item h="1" x="22"/>
        <item h="1" x="23"/>
        <item h="1" x="24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showAll="0">
      <items count="10">
        <item m="1" x="8"/>
        <item m="1" x="2"/>
        <item m="1" x="4"/>
        <item m="1" x="3"/>
        <item m="1" x="5"/>
        <item m="1" x="7"/>
        <item m="1" x="6"/>
        <item x="1"/>
        <item x="0"/>
        <item t="default"/>
      </items>
    </pivotField>
    <pivotField showAll="0"/>
  </pivotFields>
  <rowFields count="1">
    <field x="0"/>
  </rowFields>
  <rowItems count="6">
    <i>
      <x/>
    </i>
    <i>
      <x v="1"/>
    </i>
    <i>
      <x v="7"/>
    </i>
    <i>
      <x v="8"/>
    </i>
    <i>
      <x v="9"/>
    </i>
    <i t="grand">
      <x/>
    </i>
  </rowItems>
  <colFields count="1">
    <field x="3"/>
  </colFields>
  <colItems count="2">
    <i>
      <x v="2"/>
    </i>
    <i t="grand">
      <x/>
    </i>
  </colItems>
  <pageFields count="2">
    <pageField fld="10" hier="-1"/>
    <pageField fld="1" item="0" hier="-1"/>
  </pageFields>
  <dataFields count="1">
    <dataField name="Suma de HD/KM" fld="9" baseField="0" baseItem="0"/>
  </dataFields>
  <chartFormats count="67">
    <chartFormat chart="9" format="26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7" format="14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7" format="15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7" format="16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7" format="17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7" format="18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7" format="19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7" format="20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7" format="21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7" format="22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7" format="23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7" format="24" series="1">
      <pivotArea type="data" outline="0" fieldPosition="0">
        <references count="1">
          <reference field="3" count="1" selected="0">
            <x v="12"/>
          </reference>
        </references>
      </pivotArea>
    </chartFormat>
    <chartFormat chart="7" format="25" series="1">
      <pivotArea type="data" outline="0" fieldPosition="0">
        <references count="1">
          <reference field="3" count="1" selected="0">
            <x v="13"/>
          </reference>
        </references>
      </pivotArea>
    </chartFormat>
    <chartFormat chart="7" format="26" series="1">
      <pivotArea type="data" outline="0" fieldPosition="0">
        <references count="1">
          <reference field="3" count="1" selected="0">
            <x v="14"/>
          </reference>
        </references>
      </pivotArea>
    </chartFormat>
    <chartFormat chart="7" format="27" series="1">
      <pivotArea type="data" outline="0" fieldPosition="0">
        <references count="1">
          <reference field="3" count="1" selected="0">
            <x v="15"/>
          </reference>
        </references>
      </pivotArea>
    </chartFormat>
    <chartFormat chart="7" format="28" series="1">
      <pivotArea type="data" outline="0" fieldPosition="0">
        <references count="1">
          <reference field="3" count="1" selected="0">
            <x v="16"/>
          </reference>
        </references>
      </pivotArea>
    </chartFormat>
    <chartFormat chart="7" format="29" series="1">
      <pivotArea type="data" outline="0" fieldPosition="0">
        <references count="1">
          <reference field="3" count="1" selected="0">
            <x v="17"/>
          </reference>
        </references>
      </pivotArea>
    </chartFormat>
    <chartFormat chart="7" format="30" series="1">
      <pivotArea type="data" outline="0" fieldPosition="0">
        <references count="1">
          <reference field="3" count="1" selected="0">
            <x v="18"/>
          </reference>
        </references>
      </pivotArea>
    </chartFormat>
    <chartFormat chart="7" format="31" series="1">
      <pivotArea type="data" outline="0" fieldPosition="0">
        <references count="1">
          <reference field="3" count="1" selected="0">
            <x v="19"/>
          </reference>
        </references>
      </pivotArea>
    </chartFormat>
    <chartFormat chart="7" format="32" series="1">
      <pivotArea type="data" outline="0" fieldPosition="0">
        <references count="1">
          <reference field="3" count="1" selected="0">
            <x v="20"/>
          </reference>
        </references>
      </pivotArea>
    </chartFormat>
    <chartFormat chart="7" format="33" series="1">
      <pivotArea type="data" outline="0" fieldPosition="0">
        <references count="1">
          <reference field="3" count="1" selected="0">
            <x v="21"/>
          </reference>
        </references>
      </pivotArea>
    </chartFormat>
    <chartFormat chart="7" format="34" series="1">
      <pivotArea type="data" outline="0" fieldPosition="0">
        <references count="1">
          <reference field="3" count="1" selected="0">
            <x v="22"/>
          </reference>
        </references>
      </pivotArea>
    </chartFormat>
    <chartFormat chart="7" format="35" series="1">
      <pivotArea type="data" outline="0" fieldPosition="0">
        <references count="1">
          <reference field="3" count="1" selected="0">
            <x v="23"/>
          </reference>
        </references>
      </pivotArea>
    </chartFormat>
    <chartFormat chart="7" format="36" series="1">
      <pivotArea type="data" outline="0" fieldPosition="0">
        <references count="1">
          <reference field="3" count="1" selected="0">
            <x v="24"/>
          </reference>
        </references>
      </pivotArea>
    </chartFormat>
    <chartFormat chart="7" format="37" series="1">
      <pivotArea type="data" outline="0" fieldPosition="0">
        <references count="1">
          <reference field="3" count="1" selected="0">
            <x v="25"/>
          </reference>
        </references>
      </pivotArea>
    </chartFormat>
    <chartFormat chart="7" format="38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9" format="27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9" format="28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9" format="2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9" format="30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9" format="31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9" format="32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9" format="33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9" format="34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9" format="35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9" format="36" series="1">
      <pivotArea type="data" outline="0" fieldPosition="0">
        <references count="1">
          <reference field="3" count="1" selected="0">
            <x v="12"/>
          </reference>
        </references>
      </pivotArea>
    </chartFormat>
    <chartFormat chart="9" format="37" series="1">
      <pivotArea type="data" outline="0" fieldPosition="0">
        <references count="1">
          <reference field="3" count="1" selected="0">
            <x v="13"/>
          </reference>
        </references>
      </pivotArea>
    </chartFormat>
    <chartFormat chart="9" format="38" series="1">
      <pivotArea type="data" outline="0" fieldPosition="0">
        <references count="1">
          <reference field="3" count="1" selected="0">
            <x v="14"/>
          </reference>
        </references>
      </pivotArea>
    </chartFormat>
    <chartFormat chart="9" format="39" series="1">
      <pivotArea type="data" outline="0" fieldPosition="0">
        <references count="1">
          <reference field="3" count="1" selected="0">
            <x v="15"/>
          </reference>
        </references>
      </pivotArea>
    </chartFormat>
    <chartFormat chart="9" format="40" series="1">
      <pivotArea type="data" outline="0" fieldPosition="0">
        <references count="1">
          <reference field="3" count="1" selected="0">
            <x v="16"/>
          </reference>
        </references>
      </pivotArea>
    </chartFormat>
    <chartFormat chart="9" format="41" series="1">
      <pivotArea type="data" outline="0" fieldPosition="0">
        <references count="1">
          <reference field="3" count="1" selected="0">
            <x v="17"/>
          </reference>
        </references>
      </pivotArea>
    </chartFormat>
    <chartFormat chart="9" format="42" series="1">
      <pivotArea type="data" outline="0" fieldPosition="0">
        <references count="1">
          <reference field="3" count="1" selected="0">
            <x v="18"/>
          </reference>
        </references>
      </pivotArea>
    </chartFormat>
    <chartFormat chart="9" format="43" series="1">
      <pivotArea type="data" outline="0" fieldPosition="0">
        <references count="1">
          <reference field="3" count="1" selected="0">
            <x v="19"/>
          </reference>
        </references>
      </pivotArea>
    </chartFormat>
    <chartFormat chart="9" format="44" series="1">
      <pivotArea type="data" outline="0" fieldPosition="0">
        <references count="1">
          <reference field="3" count="1" selected="0">
            <x v="20"/>
          </reference>
        </references>
      </pivotArea>
    </chartFormat>
    <chartFormat chart="9" format="45" series="1">
      <pivotArea type="data" outline="0" fieldPosition="0">
        <references count="1">
          <reference field="3" count="1" selected="0">
            <x v="21"/>
          </reference>
        </references>
      </pivotArea>
    </chartFormat>
    <chartFormat chart="9" format="46" series="1">
      <pivotArea type="data" outline="0" fieldPosition="0">
        <references count="1">
          <reference field="3" count="1" selected="0">
            <x v="22"/>
          </reference>
        </references>
      </pivotArea>
    </chartFormat>
    <chartFormat chart="9" format="47" series="1">
      <pivotArea type="data" outline="0" fieldPosition="0">
        <references count="1">
          <reference field="3" count="1" selected="0">
            <x v="23"/>
          </reference>
        </references>
      </pivotArea>
    </chartFormat>
    <chartFormat chart="9" format="48" series="1">
      <pivotArea type="data" outline="0" fieldPosition="0">
        <references count="1">
          <reference field="3" count="1" selected="0">
            <x v="24"/>
          </reference>
        </references>
      </pivotArea>
    </chartFormat>
    <chartFormat chart="9" format="49" series="1">
      <pivotArea type="data" outline="0" fieldPosition="0">
        <references count="1">
          <reference field="3" count="1" selected="0">
            <x v="25"/>
          </reference>
        </references>
      </pivotArea>
    </chartFormat>
    <chartFormat chart="9" format="5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9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AF223-7E5A-4835-9245-E387F9B1D81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Patente">
  <location ref="A6:B17" firstHeaderRow="1" firstDataRow="1" firstDataCol="1" rowPageCount="4" colPageCount="1"/>
  <pivotFields count="12">
    <pivotField axis="axisPage" showAll="0">
      <items count="14">
        <item x="0"/>
        <item x="1"/>
        <item x="7"/>
        <item m="1" x="9"/>
        <item m="1" x="10"/>
        <item m="1" x="11"/>
        <item m="1" x="12"/>
        <item x="2"/>
        <item x="3"/>
        <item x="4"/>
        <item x="5"/>
        <item x="6"/>
        <item m="1" x="8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axis="axisRow" showAll="0">
      <items count="27">
        <item x="15"/>
        <item x="16"/>
        <item x="11"/>
        <item x="12"/>
        <item x="13"/>
        <item x="14"/>
        <item x="9"/>
        <item x="10"/>
        <item x="18"/>
        <item x="25"/>
        <item x="0"/>
        <item x="1"/>
        <item x="2"/>
        <item x="3"/>
        <item x="4"/>
        <item x="5"/>
        <item x="6"/>
        <item x="7"/>
        <item x="8"/>
        <item x="17"/>
        <item x="19"/>
        <item x="20"/>
        <item x="21"/>
        <item x="22"/>
        <item x="23"/>
        <item x="24"/>
        <item t="default"/>
      </items>
    </pivotField>
    <pivotField showAll="0"/>
    <pivotField axis="axisPage" showAll="0">
      <items count="9">
        <item m="1" x="7"/>
        <item x="2"/>
        <item m="1" x="6"/>
        <item x="5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axis="axisPage" showAll="0">
      <items count="10">
        <item m="1" x="8"/>
        <item m="1" x="2"/>
        <item m="1" x="4"/>
        <item m="1" x="3"/>
        <item m="1" x="5"/>
        <item m="1" x="7"/>
        <item m="1" x="6"/>
        <item x="1"/>
        <item x="0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9"/>
    </i>
    <i t="grand">
      <x/>
    </i>
  </rowItems>
  <colItems count="1">
    <i/>
  </colItems>
  <pageFields count="4">
    <pageField fld="0" hier="-1"/>
    <pageField fld="1" item="0" hier="-1"/>
    <pageField fld="10" hier="-1"/>
    <pageField fld="5" item="1" hier="-1"/>
  </pageFields>
  <dataFields count="1">
    <dataField name="Suma de HD/KM" fld="9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22582-BB14-4B2E-B17E-06D3EA99CF3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atente">
  <location ref="P4:X7" firstHeaderRow="1" firstDataRow="2" firstDataCol="1" rowPageCount="2" colPageCount="1"/>
  <pivotFields count="12">
    <pivotField axis="axisCol" showAll="0">
      <items count="14">
        <item x="0"/>
        <item x="1"/>
        <item x="7"/>
        <item m="1" x="9"/>
        <item m="1" x="10"/>
        <item m="1" x="11"/>
        <item m="1" x="12"/>
        <item x="2"/>
        <item x="3"/>
        <item x="4"/>
        <item x="5"/>
        <item x="6"/>
        <item m="1" x="8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axis="axisRow" showAll="0">
      <items count="27">
        <item h="1" x="15"/>
        <item h="1" x="16"/>
        <item h="1" x="11"/>
        <item h="1" x="12"/>
        <item h="1" x="13"/>
        <item h="1" x="14"/>
        <item x="9"/>
        <item h="1" x="10"/>
        <item h="1" x="18"/>
        <item h="1" x="2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17"/>
        <item h="1" x="19"/>
        <item h="1" x="20"/>
        <item h="1" x="21"/>
        <item h="1" x="22"/>
        <item h="1" x="23"/>
        <item h="1" x="24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showAll="0">
      <items count="10">
        <item m="1" x="8"/>
        <item m="1" x="2"/>
        <item m="1" x="4"/>
        <item m="1" x="3"/>
        <item m="1" x="5"/>
        <item m="1" x="7"/>
        <item m="1" x="6"/>
        <item x="1"/>
        <item x="0"/>
        <item t="default"/>
      </items>
    </pivotField>
    <pivotField showAll="0"/>
  </pivotFields>
  <rowFields count="1">
    <field x="3"/>
  </rowFields>
  <rowItems count="2">
    <i>
      <x v="6"/>
    </i>
    <i t="grand">
      <x/>
    </i>
  </rowItems>
  <colFields count="1">
    <field x="0"/>
  </colFields>
  <colItems count="8">
    <i>
      <x/>
    </i>
    <i>
      <x v="1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10" hier="-1"/>
    <pageField fld="1" hier="-1"/>
  </pageFields>
  <dataFields count="1">
    <dataField name="Suma de HD/KM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80CD6-AA2D-4895-BF19-CD7C3D05DCAB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atente">
  <location ref="B34:H45" firstHeaderRow="1" firstDataRow="2" firstDataCol="1" rowPageCount="3" colPageCount="1"/>
  <pivotFields count="12">
    <pivotField axis="axisCol" showAll="0">
      <items count="14">
        <item x="0"/>
        <item x="1"/>
        <item x="7"/>
        <item m="1" x="9"/>
        <item m="1" x="10"/>
        <item m="1" x="11"/>
        <item m="1" x="12"/>
        <item x="2"/>
        <item x="3"/>
        <item x="4"/>
        <item x="5"/>
        <item x="6"/>
        <item m="1" x="8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axis="axisRow" showAll="0">
      <items count="27">
        <item x="15"/>
        <item x="16"/>
        <item x="11"/>
        <item x="12"/>
        <item x="13"/>
        <item x="14"/>
        <item x="9"/>
        <item x="10"/>
        <item x="18"/>
        <item h="1" x="2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17"/>
        <item h="1" x="19"/>
        <item h="1" x="20"/>
        <item h="1" x="21"/>
        <item h="1" x="22"/>
        <item h="1" x="23"/>
        <item h="1" x="24"/>
        <item t="default"/>
      </items>
    </pivotField>
    <pivotField showAll="0"/>
    <pivotField axis="axisPage" showAll="0">
      <items count="9">
        <item m="1" x="7"/>
        <item x="2"/>
        <item m="1" x="6"/>
        <item x="5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axis="axisPage" showAll="0">
      <items count="10">
        <item m="1" x="8"/>
        <item m="1" x="2"/>
        <item m="1" x="4"/>
        <item m="1" x="3"/>
        <item m="1" x="5"/>
        <item m="1" x="7"/>
        <item m="1" x="6"/>
        <item x="1"/>
        <item x="0"/>
        <item t="default"/>
      </items>
    </pivotField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6">
    <i>
      <x/>
    </i>
    <i>
      <x v="1"/>
    </i>
    <i>
      <x v="7"/>
    </i>
    <i>
      <x v="8"/>
    </i>
    <i>
      <x v="9"/>
    </i>
    <i t="grand">
      <x/>
    </i>
  </colItems>
  <pageFields count="3">
    <pageField fld="10" hier="-1"/>
    <pageField fld="1" item="0" hier="-1"/>
    <pageField fld="5" hier="-1"/>
  </pageFields>
  <dataFields count="1">
    <dataField name="Suma de HD/KM" fld="9" baseField="0" baseItem="0"/>
  </dataFields>
  <formats count="11">
    <format dxfId="15">
      <pivotArea field="3" type="button" dataOnly="0" labelOnly="1" outline="0" axis="axisRow" fieldPosition="0"/>
    </format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12">
      <pivotArea dataOnly="0" labelOnly="1" grandCol="1" outline="0" fieldPosition="0"/>
    </format>
    <format dxfId="11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0" count="4">
            <x v="3"/>
            <x v="4"/>
            <x v="5"/>
            <x v="6"/>
          </reference>
        </references>
      </pivotArea>
    </format>
    <format dxfId="6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  <format dxfId="5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8C8D0-AA87-49BA-8EDD-911012B66C9B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Patente">
  <location ref="B55:C104" firstHeaderRow="1" firstDataRow="1" firstDataCol="1" rowPageCount="2" colPageCount="1"/>
  <pivotFields count="12">
    <pivotField axis="axisPage" showAll="0">
      <items count="14">
        <item x="0"/>
        <item x="1"/>
        <item x="7"/>
        <item m="1" x="9"/>
        <item m="1" x="10"/>
        <item m="1" x="11"/>
        <item m="1" x="12"/>
        <item x="2"/>
        <item x="3"/>
        <item x="4"/>
        <item x="5"/>
        <item x="6"/>
        <item m="1" x="8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axis="axisRow" showAll="0">
      <items count="27">
        <item x="15"/>
        <item x="16"/>
        <item x="11"/>
        <item x="12"/>
        <item x="13"/>
        <item x="14"/>
        <item x="9"/>
        <item x="10"/>
        <item x="18"/>
        <item x="25"/>
        <item x="0"/>
        <item x="1"/>
        <item x="2"/>
        <item x="3"/>
        <item x="4"/>
        <item x="5"/>
        <item x="6"/>
        <item x="7"/>
        <item x="8"/>
        <item x="17"/>
        <item x="19"/>
        <item x="20"/>
        <item x="21"/>
        <item x="22"/>
        <item x="23"/>
        <item x="24"/>
        <item t="default"/>
      </items>
    </pivotField>
    <pivotField axis="axisRow" showAll="0">
      <items count="14">
        <item x="2"/>
        <item x="6"/>
        <item x="4"/>
        <item x="5"/>
        <item x="3"/>
        <item m="1" x="12"/>
        <item x="0"/>
        <item x="1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3"/>
    <field x="4"/>
  </rowFields>
  <rowItems count="49">
    <i>
      <x/>
    </i>
    <i r="1">
      <x v="2"/>
    </i>
    <i>
      <x v="1"/>
    </i>
    <i r="1">
      <x v="2"/>
    </i>
    <i>
      <x v="2"/>
    </i>
    <i r="1">
      <x v="4"/>
    </i>
    <i>
      <x v="3"/>
    </i>
    <i r="1">
      <x v="4"/>
    </i>
    <i>
      <x v="4"/>
    </i>
    <i r="1">
      <x v="4"/>
    </i>
    <i>
      <x v="5"/>
    </i>
    <i r="1">
      <x v="4"/>
    </i>
    <i>
      <x v="6"/>
    </i>
    <i r="1">
      <x/>
    </i>
    <i>
      <x v="7"/>
    </i>
    <i r="1">
      <x/>
    </i>
    <i>
      <x v="8"/>
    </i>
    <i r="1">
      <x v="1"/>
    </i>
    <i>
      <x v="11"/>
    </i>
    <i r="1">
      <x v="7"/>
    </i>
    <i>
      <x v="12"/>
    </i>
    <i r="1">
      <x v="6"/>
    </i>
    <i>
      <x v="13"/>
    </i>
    <i r="1">
      <x v="6"/>
    </i>
    <i>
      <x v="14"/>
    </i>
    <i r="1">
      <x v="6"/>
    </i>
    <i>
      <x v="15"/>
    </i>
    <i r="1">
      <x v="6"/>
    </i>
    <i>
      <x v="16"/>
    </i>
    <i r="1">
      <x v="6"/>
    </i>
    <i>
      <x v="17"/>
    </i>
    <i r="1">
      <x v="6"/>
    </i>
    <i>
      <x v="18"/>
    </i>
    <i r="1">
      <x v="6"/>
    </i>
    <i>
      <x v="19"/>
    </i>
    <i r="1">
      <x v="3"/>
    </i>
    <i>
      <x v="20"/>
    </i>
    <i r="1">
      <x v="8"/>
    </i>
    <i>
      <x v="21"/>
    </i>
    <i r="1">
      <x v="8"/>
    </i>
    <i>
      <x v="22"/>
    </i>
    <i r="1">
      <x v="9"/>
    </i>
    <i>
      <x v="23"/>
    </i>
    <i r="1">
      <x v="9"/>
    </i>
    <i>
      <x v="24"/>
    </i>
    <i r="1">
      <x v="10"/>
    </i>
    <i>
      <x v="25"/>
    </i>
    <i r="1">
      <x v="11"/>
    </i>
    <i t="grand">
      <x/>
    </i>
  </rowItems>
  <colItems count="1">
    <i/>
  </colItems>
  <pageFields count="2">
    <pageField fld="1" item="0" hier="-1"/>
    <pageField fld="0" item="9" hier="-1"/>
  </pageFields>
  <dataFields count="1">
    <dataField name="Suma de Horómetro Final" fld="8" baseField="3" baseItem="0"/>
  </dataFields>
  <formats count="11">
    <format dxfId="26">
      <pivotArea field="3" type="button" dataOnly="0" labelOnly="1" outline="0" axis="axisRow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23">
      <pivotArea dataOnly="0" labelOnly="1" grandCol="1" outline="0" fieldPosition="0"/>
    </format>
    <format dxfId="22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19">
      <pivotArea dataOnly="0" labelOnly="1" grandCol="1" outline="0" fieldPosition="0"/>
    </format>
    <format dxfId="18">
      <pivotArea dataOnly="0" labelOnly="1" fieldPosition="0">
        <references count="1">
          <reference field="0" count="4">
            <x v="3"/>
            <x v="4"/>
            <x v="5"/>
            <x v="6"/>
          </reference>
        </references>
      </pivotArea>
    </format>
    <format dxfId="17">
      <pivotArea dataOnly="0" labelOnly="1" outline="0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16">
      <pivotArea dataOnly="0" labelOnly="1" outline="0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gistro" displayName="tbl_registro" ref="A1:L1000">
  <autoFilter ref="A1:L1000" xr:uid="{00000000-000C-0000-FFFF-FFFF00000000}"/>
  <tableColumns count="12">
    <tableColumn id="1" xr3:uid="{00000000-0010-0000-0000-000001000000}" name="Fecha" dataDxfId="32"/>
    <tableColumn id="11" xr3:uid="{2E356ACE-1B9F-44DA-BBCE-0DD18CD2073D}" name="Mes" dataDxfId="31"/>
    <tableColumn id="2" xr3:uid="{00000000-0010-0000-0000-000002000000}" name="N° Interno" dataDxfId="30"/>
    <tableColumn id="3" xr3:uid="{00000000-0010-0000-0000-000003000000}" name="Patente" dataDxfId="29"/>
    <tableColumn id="4" xr3:uid="{00000000-0010-0000-0000-000004000000}" name="Tipo Equipo"/>
    <tableColumn id="12" xr3:uid="{7B47F039-4ECF-4565-8850-28152455C051}" name="Equipo" dataDxfId="28">
      <calculatedColumnFormula>+VLOOKUP(tbl_registro[[#This Row],[Tipo Equipo]],Pivot_Equipos!$C$1:$E$39,2,FALSE)</calculatedColumnFormula>
    </tableColumn>
    <tableColumn id="5" xr3:uid="{00000000-0010-0000-0000-000005000000}" name="Lugar/Área"/>
    <tableColumn id="6" xr3:uid="{00000000-0010-0000-0000-000006000000}" name="Horómetro Inicial"/>
    <tableColumn id="7" xr3:uid="{00000000-0010-0000-0000-000007000000}" name="Horómetro Final"/>
    <tableColumn id="8" xr3:uid="{00000000-0010-0000-0000-000008000000}" name="HD/KM" dataDxfId="27"/>
    <tableColumn id="9" xr3:uid="{00000000-0010-0000-0000-000009000000}" name="Operador/Turno"/>
    <tableColumn id="10" xr3:uid="{00000000-0010-0000-0000-00000A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7B8BDA-43A7-49FC-9E79-0BFCC5FC8AD5}" name="Tabla6" displayName="Tabla6" ref="A1:H35" totalsRowShown="0" headerRowDxfId="3">
  <autoFilter ref="A1:H35" xr:uid="{767B8BDA-43A7-49FC-9E79-0BFCC5FC8AD5}"/>
  <tableColumns count="8">
    <tableColumn id="1" xr3:uid="{92FA819B-ADE9-49F7-B1E7-590E2CAE866F}" name="N°"/>
    <tableColumn id="2" xr3:uid="{64F37D05-0D68-423B-A327-C821270434EF}" name="Rut"/>
    <tableColumn id="3" xr3:uid="{4E2F0804-462E-4A6D-8ADD-53E33688CDA4}" name="Nombre"/>
    <tableColumn id="4" xr3:uid="{0544AA1E-832C-41BC-9567-856BCA06DD59}" name="Cargo"/>
    <tableColumn id="6" xr3:uid="{7B557CC5-5775-4D62-BE54-15B9EBD0283D}" name="Equipo" dataDxfId="2"/>
    <tableColumn id="5" xr3:uid="{7C801F69-F142-4D37-9C2A-58066D05DC0E}" name="Equipo 1" dataDxfId="1"/>
    <tableColumn id="7" xr3:uid="{CC7EDED1-9479-4E9D-BC20-8FE6D5089F32}" name="Equipo 2"/>
    <tableColumn id="8" xr3:uid="{8C4EF605-31CD-4B29-87A6-ED6CBAD6D0D4}" name="Mail" dataDxfId="0">
      <calculatedColumnFormula>+VLOOKUP(Tabla6[[#This Row],[Rut]],Hoja1!$1:$1048576,9,FALSE)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clpino@rfp-logistica.cl" TargetMode="External"/><Relationship Id="rId2" Type="http://schemas.openxmlformats.org/officeDocument/2006/relationships/hyperlink" Target="mailto:hcalderon@rfp-logistica.cl" TargetMode="External"/><Relationship Id="rId1" Type="http://schemas.openxmlformats.org/officeDocument/2006/relationships/hyperlink" Target="mailto:acabrera@rfp-logistica.cl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rrojas@rfp-logistica.c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lopezlopezwilbert2@gmail.com" TargetMode="External"/><Relationship Id="rId1" Type="http://schemas.openxmlformats.org/officeDocument/2006/relationships/hyperlink" Target="mailto:williams.laguna.tole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103" workbookViewId="0">
      <selection activeCell="I167" sqref="I167"/>
    </sheetView>
  </sheetViews>
  <sheetFormatPr baseColWidth="10" defaultColWidth="8.88671875" defaultRowHeight="14.4" x14ac:dyDescent="0.3"/>
  <cols>
    <col min="1" max="1" width="15" customWidth="1"/>
    <col min="2" max="2" width="15" style="1" customWidth="1"/>
    <col min="3" max="4" width="12" customWidth="1"/>
    <col min="5" max="5" width="34.109375" bestFit="1" customWidth="1"/>
    <col min="6" max="6" width="11.5546875" customWidth="1"/>
    <col min="7" max="7" width="22.77734375" bestFit="1" customWidth="1"/>
    <col min="8" max="9" width="18" customWidth="1"/>
    <col min="10" max="10" width="12" style="2" customWidth="1"/>
    <col min="11" max="11" width="18" customWidth="1"/>
    <col min="12" max="12" width="25" customWidth="1"/>
  </cols>
  <sheetData>
    <row r="1" spans="1:12" x14ac:dyDescent="0.3">
      <c r="A1" t="s">
        <v>0</v>
      </c>
      <c r="B1" s="1" t="s">
        <v>36</v>
      </c>
      <c r="C1" t="s">
        <v>1</v>
      </c>
      <c r="D1" t="s">
        <v>2</v>
      </c>
      <c r="E1" t="s">
        <v>3</v>
      </c>
      <c r="F1" t="s">
        <v>40</v>
      </c>
      <c r="G1" t="s">
        <v>4</v>
      </c>
      <c r="H1" t="s">
        <v>5</v>
      </c>
      <c r="I1" t="s">
        <v>6</v>
      </c>
      <c r="J1" s="2" t="s">
        <v>85</v>
      </c>
      <c r="K1" t="s">
        <v>7</v>
      </c>
      <c r="L1" t="s">
        <v>8</v>
      </c>
    </row>
    <row r="2" spans="1:12" x14ac:dyDescent="0.3">
      <c r="A2" s="42">
        <v>45957</v>
      </c>
      <c r="B2" s="7" t="s">
        <v>37</v>
      </c>
      <c r="C2" s="1"/>
      <c r="D2" s="2" t="s">
        <v>84</v>
      </c>
      <c r="E2" t="e">
        <f>+VLOOKUP(tbl_registro[[#This Row],[Patente]],Pivot_Equipos!$A$1:$E$39,3,FALSE)</f>
        <v>#N/A</v>
      </c>
      <c r="F2" s="2" t="e">
        <f>+VLOOKUP(tbl_registro[[#This Row],[Tipo Equipo]],Pivot_Equipos!$C$1:$E$39,2,FALSE)</f>
        <v>#N/A</v>
      </c>
      <c r="G2" t="s">
        <v>89</v>
      </c>
      <c r="H2">
        <v>2977</v>
      </c>
      <c r="I2">
        <v>3019</v>
      </c>
      <c r="J2" s="2">
        <f t="shared" ref="J2:J65" si="0">I2-H2</f>
        <v>42</v>
      </c>
      <c r="K2" t="s">
        <v>90</v>
      </c>
    </row>
    <row r="3" spans="1:12" x14ac:dyDescent="0.3">
      <c r="A3" s="42">
        <v>45958</v>
      </c>
      <c r="B3" s="7" t="s">
        <v>37</v>
      </c>
      <c r="C3" s="1"/>
      <c r="D3" s="2" t="s">
        <v>84</v>
      </c>
      <c r="E3" t="e">
        <f>+VLOOKUP(tbl_registro[[#This Row],[Patente]],Pivot_Equipos!$A$1:$E$39,3,FALSE)</f>
        <v>#N/A</v>
      </c>
      <c r="F3" s="2" t="e">
        <f>+VLOOKUP(tbl_registro[[#This Row],[Tipo Equipo]],Pivot_Equipos!$C$1:$E$39,2,FALSE)</f>
        <v>#N/A</v>
      </c>
      <c r="G3" t="s">
        <v>89</v>
      </c>
      <c r="H3">
        <v>3019</v>
      </c>
      <c r="I3">
        <v>3030</v>
      </c>
      <c r="J3" s="2">
        <f t="shared" si="0"/>
        <v>11</v>
      </c>
      <c r="K3" t="s">
        <v>90</v>
      </c>
    </row>
    <row r="4" spans="1:12" x14ac:dyDescent="0.3">
      <c r="A4" s="42">
        <v>45959</v>
      </c>
      <c r="B4" s="7" t="s">
        <v>37</v>
      </c>
      <c r="C4" s="1"/>
      <c r="D4" s="2" t="s">
        <v>84</v>
      </c>
      <c r="E4" t="e">
        <f>+VLOOKUP(tbl_registro[[#This Row],[Patente]],Pivot_Equipos!$A$1:$E$39,3,FALSE)</f>
        <v>#N/A</v>
      </c>
      <c r="F4" s="2" t="e">
        <f>+VLOOKUP(tbl_registro[[#This Row],[Tipo Equipo]],Pivot_Equipos!$C$1:$E$39,2,FALSE)</f>
        <v>#N/A</v>
      </c>
      <c r="G4" t="s">
        <v>89</v>
      </c>
      <c r="H4">
        <v>3030</v>
      </c>
      <c r="I4">
        <v>3080</v>
      </c>
      <c r="J4" s="2">
        <f t="shared" si="0"/>
        <v>50</v>
      </c>
      <c r="K4" t="s">
        <v>90</v>
      </c>
    </row>
    <row r="5" spans="1:12" x14ac:dyDescent="0.3">
      <c r="A5" s="42">
        <v>45959</v>
      </c>
      <c r="B5" s="7" t="s">
        <v>37</v>
      </c>
      <c r="C5" s="1" t="s">
        <v>46</v>
      </c>
      <c r="D5" s="1" t="s">
        <v>127</v>
      </c>
      <c r="E5" t="str">
        <f>+VLOOKUP(tbl_registro[[#This Row],[Patente]],Pivot_Equipos!$A$1:$E$39,3,FALSE)</f>
        <v>FURGON PEUGEOT</v>
      </c>
      <c r="F5" s="2" t="str">
        <f>+VLOOKUP(tbl_registro[[#This Row],[Tipo Equipo]],Pivot_Equipos!$C$1:$E$39,2,FALSE)</f>
        <v>Furgón</v>
      </c>
      <c r="H5">
        <v>7150</v>
      </c>
      <c r="I5">
        <v>7222</v>
      </c>
      <c r="J5" s="2">
        <f t="shared" si="0"/>
        <v>72</v>
      </c>
    </row>
    <row r="6" spans="1:12" x14ac:dyDescent="0.3">
      <c r="A6" s="42">
        <v>45959</v>
      </c>
      <c r="B6" s="7" t="s">
        <v>37</v>
      </c>
      <c r="C6" s="1" t="s">
        <v>100</v>
      </c>
      <c r="D6" s="2" t="s">
        <v>93</v>
      </c>
      <c r="E6" t="str">
        <f>+VLOOKUP(tbl_registro[[#This Row],[Patente]],Pivot_Equipos!$A$1:$E$39,3,FALSE)</f>
        <v>CAMIONETA</v>
      </c>
      <c r="F6" s="2" t="str">
        <f>+VLOOKUP(tbl_registro[[#This Row],[Tipo Equipo]],Pivot_Equipos!$C$1:$E$39,2,FALSE)</f>
        <v>Camioneta</v>
      </c>
      <c r="H6">
        <v>3300</v>
      </c>
      <c r="I6">
        <v>3404</v>
      </c>
      <c r="J6" s="2">
        <f t="shared" si="0"/>
        <v>104</v>
      </c>
    </row>
    <row r="7" spans="1:12" x14ac:dyDescent="0.3">
      <c r="A7" s="42">
        <v>45959</v>
      </c>
      <c r="B7" s="7" t="s">
        <v>37</v>
      </c>
      <c r="C7" s="1" t="s">
        <v>101</v>
      </c>
      <c r="D7" s="2" t="s">
        <v>94</v>
      </c>
      <c r="E7" t="str">
        <f>+VLOOKUP(tbl_registro[[#This Row],[Patente]],Pivot_Equipos!$A$1:$E$39,3,FALSE)</f>
        <v>CAMIONETA</v>
      </c>
      <c r="F7" s="2" t="str">
        <f>+VLOOKUP(tbl_registro[[#This Row],[Tipo Equipo]],Pivot_Equipos!$C$1:$E$39,2,FALSE)</f>
        <v>Camioneta</v>
      </c>
      <c r="H7">
        <v>7400</v>
      </c>
      <c r="I7">
        <v>7497</v>
      </c>
      <c r="J7" s="2">
        <f t="shared" si="0"/>
        <v>97</v>
      </c>
    </row>
    <row r="8" spans="1:12" x14ac:dyDescent="0.3">
      <c r="A8" s="42">
        <v>45959</v>
      </c>
      <c r="B8" s="7" t="s">
        <v>37</v>
      </c>
      <c r="C8" s="1" t="s">
        <v>102</v>
      </c>
      <c r="D8" s="2" t="s">
        <v>95</v>
      </c>
      <c r="E8" t="str">
        <f>+VLOOKUP(tbl_registro[[#This Row],[Patente]],Pivot_Equipos!$A$1:$E$39,3,FALSE)</f>
        <v>CAMIONETA</v>
      </c>
      <c r="F8" s="2" t="str">
        <f>+VLOOKUP(tbl_registro[[#This Row],[Tipo Equipo]],Pivot_Equipos!$C$1:$E$39,2,FALSE)</f>
        <v>Camioneta</v>
      </c>
      <c r="H8">
        <v>3000</v>
      </c>
      <c r="I8">
        <v>3050</v>
      </c>
      <c r="J8" s="2">
        <f t="shared" si="0"/>
        <v>50</v>
      </c>
    </row>
    <row r="9" spans="1:12" x14ac:dyDescent="0.3">
      <c r="A9" s="42">
        <v>45959</v>
      </c>
      <c r="B9" s="7" t="s">
        <v>37</v>
      </c>
      <c r="C9" s="1" t="s">
        <v>103</v>
      </c>
      <c r="D9" s="2" t="s">
        <v>96</v>
      </c>
      <c r="E9" t="str">
        <f>+VLOOKUP(tbl_registro[[#This Row],[Patente]],Pivot_Equipos!$A$1:$E$39,3,FALSE)</f>
        <v>CAMIONETA</v>
      </c>
      <c r="F9" s="2" t="str">
        <f>+VLOOKUP(tbl_registro[[#This Row],[Tipo Equipo]],Pivot_Equipos!$C$1:$E$39,2,FALSE)</f>
        <v>Camioneta</v>
      </c>
      <c r="H9">
        <v>7500</v>
      </c>
      <c r="I9">
        <v>7535</v>
      </c>
      <c r="J9" s="2">
        <f t="shared" si="0"/>
        <v>35</v>
      </c>
    </row>
    <row r="10" spans="1:12" x14ac:dyDescent="0.3">
      <c r="A10" s="42">
        <v>45959</v>
      </c>
      <c r="B10" s="7" t="s">
        <v>37</v>
      </c>
      <c r="C10" s="1" t="s">
        <v>104</v>
      </c>
      <c r="D10" s="2" t="s">
        <v>97</v>
      </c>
      <c r="E10" t="str">
        <f>+VLOOKUP(tbl_registro[[#This Row],[Patente]],Pivot_Equipos!$A$1:$E$39,3,FALSE)</f>
        <v>CAMIONETA</v>
      </c>
      <c r="F10" s="2" t="str">
        <f>+VLOOKUP(tbl_registro[[#This Row],[Tipo Equipo]],Pivot_Equipos!$C$1:$E$39,2,FALSE)</f>
        <v>Camioneta</v>
      </c>
      <c r="H10">
        <v>4300</v>
      </c>
      <c r="I10">
        <v>4407</v>
      </c>
      <c r="J10" s="2">
        <f t="shared" si="0"/>
        <v>107</v>
      </c>
    </row>
    <row r="11" spans="1:12" x14ac:dyDescent="0.3">
      <c r="A11" s="42">
        <v>45959</v>
      </c>
      <c r="B11" s="7" t="s">
        <v>37</v>
      </c>
      <c r="C11" s="1" t="s">
        <v>105</v>
      </c>
      <c r="D11" s="2" t="s">
        <v>98</v>
      </c>
      <c r="E11" t="str">
        <f>+VLOOKUP(tbl_registro[[#This Row],[Patente]],Pivot_Equipos!$A$1:$E$39,3,FALSE)</f>
        <v>CAMIONETA</v>
      </c>
      <c r="F11" s="2" t="str">
        <f>+VLOOKUP(tbl_registro[[#This Row],[Tipo Equipo]],Pivot_Equipos!$C$1:$E$39,2,FALSE)</f>
        <v>Camioneta</v>
      </c>
      <c r="H11">
        <v>3255</v>
      </c>
      <c r="I11">
        <v>3368</v>
      </c>
      <c r="J11" s="2">
        <f t="shared" si="0"/>
        <v>113</v>
      </c>
    </row>
    <row r="12" spans="1:12" x14ac:dyDescent="0.3">
      <c r="A12" s="42">
        <v>45959</v>
      </c>
      <c r="B12" s="7" t="s">
        <v>37</v>
      </c>
      <c r="C12" s="1" t="s">
        <v>106</v>
      </c>
      <c r="D12" s="2" t="s">
        <v>99</v>
      </c>
      <c r="E12" t="str">
        <f>+VLOOKUP(tbl_registro[[#This Row],[Patente]],Pivot_Equipos!$A$1:$E$39,3,FALSE)</f>
        <v>CAMIONETA</v>
      </c>
      <c r="F12" s="2" t="str">
        <f>+VLOOKUP(tbl_registro[[#This Row],[Tipo Equipo]],Pivot_Equipos!$C$1:$E$39,2,FALSE)</f>
        <v>Camioneta</v>
      </c>
      <c r="H12">
        <v>4400</v>
      </c>
      <c r="I12">
        <v>4462</v>
      </c>
      <c r="J12" s="2">
        <f t="shared" si="0"/>
        <v>62</v>
      </c>
    </row>
    <row r="13" spans="1:12" x14ac:dyDescent="0.3">
      <c r="A13" s="42">
        <v>45957</v>
      </c>
      <c r="B13" s="7" t="s">
        <v>37</v>
      </c>
      <c r="C13" s="1" t="s">
        <v>15</v>
      </c>
      <c r="D13" s="2">
        <v>465</v>
      </c>
      <c r="E13" t="str">
        <f>+VLOOKUP(tbl_registro[[#This Row],[Patente]],Pivot_Equipos!$A$1:$E$39,3,FALSE)</f>
        <v>GRUA HORQUILLA 16 TON</v>
      </c>
      <c r="F13" s="2" t="str">
        <f>+VLOOKUP(tbl_registro[[#This Row],[Tipo Equipo]],Pivot_Equipos!$C$1:$E$39,2,FALSE)</f>
        <v>Grua</v>
      </c>
      <c r="H13">
        <v>291.3</v>
      </c>
      <c r="I13">
        <v>291.3</v>
      </c>
      <c r="J13" s="2">
        <f t="shared" si="0"/>
        <v>0</v>
      </c>
    </row>
    <row r="14" spans="1:12" x14ac:dyDescent="0.3">
      <c r="A14" s="42">
        <v>45957</v>
      </c>
      <c r="B14" s="7" t="s">
        <v>37</v>
      </c>
      <c r="C14" s="1" t="s">
        <v>16</v>
      </c>
      <c r="D14" s="2">
        <v>466</v>
      </c>
      <c r="E14" t="str">
        <f>+VLOOKUP(tbl_registro[[#This Row],[Patente]],Pivot_Equipos!$A$1:$E$39,3,FALSE)</f>
        <v>GRUA HORQUILLA 16 TON</v>
      </c>
      <c r="F14" s="2" t="str">
        <f>+VLOOKUP(tbl_registro[[#This Row],[Tipo Equipo]],Pivot_Equipos!$C$1:$E$39,2,FALSE)</f>
        <v>Grua</v>
      </c>
      <c r="H14">
        <v>272.8</v>
      </c>
      <c r="I14">
        <v>272.8</v>
      </c>
      <c r="J14" s="2">
        <f t="shared" si="0"/>
        <v>0</v>
      </c>
    </row>
    <row r="15" spans="1:12" x14ac:dyDescent="0.3">
      <c r="A15" s="42">
        <v>45957</v>
      </c>
      <c r="B15" s="7" t="s">
        <v>37</v>
      </c>
      <c r="C15" s="1" t="s">
        <v>17</v>
      </c>
      <c r="D15" s="2">
        <v>461</v>
      </c>
      <c r="E15" t="str">
        <f>+VLOOKUP(tbl_registro[[#This Row],[Patente]],Pivot_Equipos!$A$1:$E$39,3,FALSE)</f>
        <v>GRUA HORQUILLA 7 TON</v>
      </c>
      <c r="F15" s="2" t="str">
        <f>+VLOOKUP(tbl_registro[[#This Row],[Tipo Equipo]],Pivot_Equipos!$C$1:$E$39,2,FALSE)</f>
        <v>Grua</v>
      </c>
      <c r="H15">
        <v>64</v>
      </c>
      <c r="I15">
        <v>64</v>
      </c>
      <c r="J15" s="2">
        <f t="shared" si="0"/>
        <v>0</v>
      </c>
    </row>
    <row r="16" spans="1:12" x14ac:dyDescent="0.3">
      <c r="A16" s="42">
        <v>45957</v>
      </c>
      <c r="B16" s="7" t="s">
        <v>37</v>
      </c>
      <c r="C16" s="1" t="s">
        <v>18</v>
      </c>
      <c r="D16" s="2">
        <v>462</v>
      </c>
      <c r="E16" t="str">
        <f>+VLOOKUP(tbl_registro[[#This Row],[Patente]],Pivot_Equipos!$A$1:$E$39,3,FALSE)</f>
        <v>GRUA HORQUILLA 7 TON</v>
      </c>
      <c r="F16" s="2" t="str">
        <f>+VLOOKUP(tbl_registro[[#This Row],[Tipo Equipo]],Pivot_Equipos!$C$1:$E$39,2,FALSE)</f>
        <v>Grua</v>
      </c>
      <c r="H16">
        <v>200</v>
      </c>
      <c r="I16">
        <v>200</v>
      </c>
      <c r="J16" s="2">
        <f t="shared" si="0"/>
        <v>0</v>
      </c>
    </row>
    <row r="17" spans="1:10" x14ac:dyDescent="0.3">
      <c r="A17" s="42">
        <v>45957</v>
      </c>
      <c r="B17" s="7" t="s">
        <v>37</v>
      </c>
      <c r="C17" s="1" t="s">
        <v>19</v>
      </c>
      <c r="D17" s="2">
        <v>463</v>
      </c>
      <c r="E17" t="str">
        <f>+VLOOKUP(tbl_registro[[#This Row],[Patente]],Pivot_Equipos!$A$1:$E$39,3,FALSE)</f>
        <v>GRUA HORQUILLA 7 TON</v>
      </c>
      <c r="F17" s="2" t="str">
        <f>+VLOOKUP(tbl_registro[[#This Row],[Tipo Equipo]],Pivot_Equipos!$C$1:$E$39,2,FALSE)</f>
        <v>Grua</v>
      </c>
      <c r="H17">
        <v>158.6</v>
      </c>
      <c r="I17">
        <v>158.6</v>
      </c>
      <c r="J17" s="2">
        <f t="shared" si="0"/>
        <v>0</v>
      </c>
    </row>
    <row r="18" spans="1:10" x14ac:dyDescent="0.3">
      <c r="A18" s="42">
        <v>45957</v>
      </c>
      <c r="B18" s="7" t="s">
        <v>37</v>
      </c>
      <c r="C18" s="1" t="s">
        <v>20</v>
      </c>
      <c r="D18" s="2">
        <v>464</v>
      </c>
      <c r="E18" t="str">
        <f>+VLOOKUP(tbl_registro[[#This Row],[Patente]],Pivot_Equipos!$A$1:$E$39,3,FALSE)</f>
        <v>GRUA HORQUILLA 7 TON</v>
      </c>
      <c r="F18" s="2" t="str">
        <f>+VLOOKUP(tbl_registro[[#This Row],[Tipo Equipo]],Pivot_Equipos!$C$1:$E$39,2,FALSE)</f>
        <v>Grua</v>
      </c>
      <c r="H18">
        <v>151</v>
      </c>
      <c r="I18">
        <v>151</v>
      </c>
      <c r="J18" s="2">
        <f t="shared" si="0"/>
        <v>0</v>
      </c>
    </row>
    <row r="19" spans="1:10" x14ac:dyDescent="0.3">
      <c r="A19" s="42">
        <v>45957</v>
      </c>
      <c r="B19" s="7" t="s">
        <v>37</v>
      </c>
      <c r="C19" s="1" t="s">
        <v>21</v>
      </c>
      <c r="D19" s="2">
        <v>459</v>
      </c>
      <c r="E19" t="str">
        <f>+VLOOKUP(tbl_registro[[#This Row],[Patente]],Pivot_Equipos!$A$1:$E$39,3,FALSE)</f>
        <v>GRUA HORQUILLA 3 TON</v>
      </c>
      <c r="F19" s="2" t="str">
        <f>+VLOOKUP(tbl_registro[[#This Row],[Tipo Equipo]],Pivot_Equipos!$C$1:$E$39,2,FALSE)</f>
        <v>Grua</v>
      </c>
      <c r="H19">
        <v>118</v>
      </c>
      <c r="I19">
        <v>118</v>
      </c>
      <c r="J19" s="2">
        <f t="shared" si="0"/>
        <v>0</v>
      </c>
    </row>
    <row r="20" spans="1:10" x14ac:dyDescent="0.3">
      <c r="A20" s="42">
        <v>45957</v>
      </c>
      <c r="B20" s="7" t="s">
        <v>37</v>
      </c>
      <c r="C20" s="1" t="s">
        <v>22</v>
      </c>
      <c r="D20" s="2">
        <v>460</v>
      </c>
      <c r="E20" t="str">
        <f>+VLOOKUP(tbl_registro[[#This Row],[Patente]],Pivot_Equipos!$A$1:$E$39,3,FALSE)</f>
        <v>GRUA HORQUILLA 3 TON</v>
      </c>
      <c r="F20" s="2" t="str">
        <f>+VLOOKUP(tbl_registro[[#This Row],[Tipo Equipo]],Pivot_Equipos!$C$1:$E$39,2,FALSE)</f>
        <v>Grua</v>
      </c>
      <c r="H20">
        <v>151.1</v>
      </c>
      <c r="I20">
        <v>151.1</v>
      </c>
      <c r="J20" s="2">
        <f t="shared" si="0"/>
        <v>0</v>
      </c>
    </row>
    <row r="21" spans="1:10" x14ac:dyDescent="0.3">
      <c r="A21" s="42">
        <v>45957</v>
      </c>
      <c r="B21" s="7" t="s">
        <v>37</v>
      </c>
      <c r="C21" s="1" t="s">
        <v>23</v>
      </c>
      <c r="D21" s="2">
        <v>475</v>
      </c>
      <c r="E21" t="str">
        <f>+VLOOKUP(tbl_registro[[#This Row],[Patente]],Pivot_Equipos!$A$1:$E$39,3,FALSE)</f>
        <v>GRUA HORQUILLA 3.5 TON ELECTRICA</v>
      </c>
      <c r="F21" s="2" t="str">
        <f>+VLOOKUP(tbl_registro[[#This Row],[Tipo Equipo]],Pivot_Equipos!$C$1:$E$39,2,FALSE)</f>
        <v>Grua</v>
      </c>
      <c r="H21">
        <v>50</v>
      </c>
      <c r="I21">
        <v>50</v>
      </c>
      <c r="J21" s="2">
        <f t="shared" si="0"/>
        <v>0</v>
      </c>
    </row>
    <row r="22" spans="1:10" x14ac:dyDescent="0.3">
      <c r="A22" s="42">
        <v>45957</v>
      </c>
      <c r="B22" s="7" t="s">
        <v>37</v>
      </c>
      <c r="C22" s="1" t="s">
        <v>24</v>
      </c>
      <c r="D22" s="2">
        <v>467</v>
      </c>
      <c r="E22" t="str">
        <f>+VLOOKUP(tbl_registro[[#This Row],[Patente]],Pivot_Equipos!$A$1:$E$39,3,FALSE)</f>
        <v>GRUA HORQUILLA 2.5 TON ELECTRICA</v>
      </c>
      <c r="F22" s="2" t="str">
        <f>+VLOOKUP(tbl_registro[[#This Row],[Tipo Equipo]],Pivot_Equipos!$C$1:$E$39,2,FALSE)</f>
        <v>Grua</v>
      </c>
      <c r="H22">
        <v>195</v>
      </c>
      <c r="I22">
        <v>195</v>
      </c>
      <c r="J22" s="2">
        <f t="shared" ref="J22:J25" si="1">I22-H22</f>
        <v>0</v>
      </c>
    </row>
    <row r="23" spans="1:10" x14ac:dyDescent="0.3">
      <c r="A23" s="42">
        <v>45958</v>
      </c>
      <c r="B23" s="7" t="s">
        <v>37</v>
      </c>
      <c r="C23" s="1" t="s">
        <v>15</v>
      </c>
      <c r="D23" s="2">
        <v>465</v>
      </c>
      <c r="E23" t="str">
        <f>+VLOOKUP(tbl_registro[[#This Row],[Patente]],Pivot_Equipos!$A$1:$E$39,3,FALSE)</f>
        <v>GRUA HORQUILLA 16 TON</v>
      </c>
      <c r="F23" s="2" t="str">
        <f>+VLOOKUP(tbl_registro[[#This Row],[Tipo Equipo]],Pivot_Equipos!$C$1:$E$39,2,FALSE)</f>
        <v>Grua</v>
      </c>
      <c r="H23">
        <v>291.3</v>
      </c>
      <c r="I23">
        <v>292</v>
      </c>
      <c r="J23" s="2">
        <f t="shared" si="1"/>
        <v>0.69999999999998863</v>
      </c>
    </row>
    <row r="24" spans="1:10" x14ac:dyDescent="0.3">
      <c r="A24" s="42">
        <v>45958</v>
      </c>
      <c r="B24" s="7" t="s">
        <v>37</v>
      </c>
      <c r="C24" s="1" t="s">
        <v>16</v>
      </c>
      <c r="D24" s="2">
        <v>466</v>
      </c>
      <c r="E24" t="str">
        <f>+VLOOKUP(tbl_registro[[#This Row],[Patente]],Pivot_Equipos!$A$1:$E$39,3,FALSE)</f>
        <v>GRUA HORQUILLA 16 TON</v>
      </c>
      <c r="F24" s="2" t="str">
        <f>+VLOOKUP(tbl_registro[[#This Row],[Tipo Equipo]],Pivot_Equipos!$C$1:$E$39,2,FALSE)</f>
        <v>Grua</v>
      </c>
      <c r="H24">
        <v>272.8</v>
      </c>
      <c r="I24">
        <v>275</v>
      </c>
      <c r="J24" s="2">
        <f t="shared" si="1"/>
        <v>2.1999999999999886</v>
      </c>
    </row>
    <row r="25" spans="1:10" x14ac:dyDescent="0.3">
      <c r="A25" s="42">
        <v>45958</v>
      </c>
      <c r="B25" s="7" t="s">
        <v>37</v>
      </c>
      <c r="C25" s="1" t="s">
        <v>17</v>
      </c>
      <c r="D25" s="2">
        <v>461</v>
      </c>
      <c r="E25" t="str">
        <f>+VLOOKUP(tbl_registro[[#This Row],[Patente]],Pivot_Equipos!$A$1:$E$39,3,FALSE)</f>
        <v>GRUA HORQUILLA 7 TON</v>
      </c>
      <c r="F25" s="2" t="str">
        <f>+VLOOKUP(tbl_registro[[#This Row],[Tipo Equipo]],Pivot_Equipos!$C$1:$E$39,2,FALSE)</f>
        <v>Grua</v>
      </c>
      <c r="H25">
        <v>64</v>
      </c>
      <c r="I25">
        <v>64.2</v>
      </c>
      <c r="J25" s="2">
        <f t="shared" si="1"/>
        <v>0.20000000000000284</v>
      </c>
    </row>
    <row r="26" spans="1:10" x14ac:dyDescent="0.3">
      <c r="A26" s="42">
        <v>45958</v>
      </c>
      <c r="B26" s="7" t="s">
        <v>37</v>
      </c>
      <c r="C26" s="1" t="s">
        <v>18</v>
      </c>
      <c r="D26" s="2">
        <v>462</v>
      </c>
      <c r="E26" t="str">
        <f>+VLOOKUP(tbl_registro[[#This Row],[Patente]],Pivot_Equipos!$A$1:$E$39,3,FALSE)</f>
        <v>GRUA HORQUILLA 7 TON</v>
      </c>
      <c r="F26" s="2" t="str">
        <f>+VLOOKUP(tbl_registro[[#This Row],[Tipo Equipo]],Pivot_Equipos!$C$1:$E$39,2,FALSE)</f>
        <v>Grua</v>
      </c>
      <c r="H26">
        <v>200</v>
      </c>
      <c r="I26">
        <v>200.5</v>
      </c>
      <c r="J26" s="2">
        <f t="shared" si="0"/>
        <v>0.5</v>
      </c>
    </row>
    <row r="27" spans="1:10" x14ac:dyDescent="0.3">
      <c r="A27" s="42">
        <v>45958</v>
      </c>
      <c r="B27" s="7" t="s">
        <v>37</v>
      </c>
      <c r="C27" s="1" t="s">
        <v>19</v>
      </c>
      <c r="D27" s="2">
        <v>463</v>
      </c>
      <c r="E27" t="str">
        <f>+VLOOKUP(tbl_registro[[#This Row],[Patente]],Pivot_Equipos!$A$1:$E$39,3,FALSE)</f>
        <v>GRUA HORQUILLA 7 TON</v>
      </c>
      <c r="F27" s="2" t="str">
        <f>+VLOOKUP(tbl_registro[[#This Row],[Tipo Equipo]],Pivot_Equipos!$C$1:$E$39,2,FALSE)</f>
        <v>Grua</v>
      </c>
      <c r="H27">
        <v>158.6</v>
      </c>
      <c r="I27">
        <v>162.69999999999999</v>
      </c>
      <c r="J27" s="2">
        <f t="shared" si="0"/>
        <v>4.0999999999999943</v>
      </c>
    </row>
    <row r="28" spans="1:10" x14ac:dyDescent="0.3">
      <c r="A28" s="42">
        <v>45958</v>
      </c>
      <c r="B28" s="7" t="s">
        <v>37</v>
      </c>
      <c r="C28" s="1" t="s">
        <v>20</v>
      </c>
      <c r="D28" s="2">
        <v>464</v>
      </c>
      <c r="E28" t="str">
        <f>+VLOOKUP(tbl_registro[[#This Row],[Patente]],Pivot_Equipos!$A$1:$E$39,3,FALSE)</f>
        <v>GRUA HORQUILLA 7 TON</v>
      </c>
      <c r="F28" s="2" t="str">
        <f>+VLOOKUP(tbl_registro[[#This Row],[Tipo Equipo]],Pivot_Equipos!$C$1:$E$39,2,FALSE)</f>
        <v>Grua</v>
      </c>
      <c r="H28">
        <v>151</v>
      </c>
      <c r="I28">
        <v>151.5</v>
      </c>
      <c r="J28" s="2">
        <f t="shared" si="0"/>
        <v>0.5</v>
      </c>
    </row>
    <row r="29" spans="1:10" x14ac:dyDescent="0.3">
      <c r="A29" s="42">
        <v>45958</v>
      </c>
      <c r="B29" s="7" t="s">
        <v>37</v>
      </c>
      <c r="C29" s="1" t="s">
        <v>21</v>
      </c>
      <c r="D29" s="2">
        <v>459</v>
      </c>
      <c r="E29" t="str">
        <f>+VLOOKUP(tbl_registro[[#This Row],[Patente]],Pivot_Equipos!$A$1:$E$39,3,FALSE)</f>
        <v>GRUA HORQUILLA 3 TON</v>
      </c>
      <c r="F29" s="2" t="str">
        <f>+VLOOKUP(tbl_registro[[#This Row],[Tipo Equipo]],Pivot_Equipos!$C$1:$E$39,2,FALSE)</f>
        <v>Grua</v>
      </c>
      <c r="H29">
        <v>118</v>
      </c>
      <c r="I29">
        <v>118.6</v>
      </c>
      <c r="J29" s="2">
        <f t="shared" si="0"/>
        <v>0.59999999999999432</v>
      </c>
    </row>
    <row r="30" spans="1:10" x14ac:dyDescent="0.3">
      <c r="A30" s="42">
        <v>45958</v>
      </c>
      <c r="B30" s="7" t="s">
        <v>37</v>
      </c>
      <c r="C30" s="1" t="s">
        <v>22</v>
      </c>
      <c r="D30" s="2">
        <v>460</v>
      </c>
      <c r="E30" t="str">
        <f>+VLOOKUP(tbl_registro[[#This Row],[Patente]],Pivot_Equipos!$A$1:$E$39,3,FALSE)</f>
        <v>GRUA HORQUILLA 3 TON</v>
      </c>
      <c r="F30" s="2" t="str">
        <f>+VLOOKUP(tbl_registro[[#This Row],[Tipo Equipo]],Pivot_Equipos!$C$1:$E$39,2,FALSE)</f>
        <v>Grua</v>
      </c>
      <c r="H30">
        <v>151.1</v>
      </c>
      <c r="I30">
        <v>151.5</v>
      </c>
      <c r="J30" s="2">
        <f t="shared" si="0"/>
        <v>0.40000000000000568</v>
      </c>
    </row>
    <row r="31" spans="1:10" x14ac:dyDescent="0.3">
      <c r="A31" s="42">
        <v>45958</v>
      </c>
      <c r="B31" s="7" t="s">
        <v>37</v>
      </c>
      <c r="C31" s="1" t="s">
        <v>23</v>
      </c>
      <c r="D31" s="2">
        <v>475</v>
      </c>
      <c r="E31" t="str">
        <f>+VLOOKUP(tbl_registro[[#This Row],[Patente]],Pivot_Equipos!$A$1:$E$39,3,FALSE)</f>
        <v>GRUA HORQUILLA 3.5 TON ELECTRICA</v>
      </c>
      <c r="F31" s="2" t="str">
        <f>+VLOOKUP(tbl_registro[[#This Row],[Tipo Equipo]],Pivot_Equipos!$C$1:$E$39,2,FALSE)</f>
        <v>Grua</v>
      </c>
      <c r="H31">
        <v>50</v>
      </c>
      <c r="I31">
        <v>50</v>
      </c>
      <c r="J31" s="2">
        <f t="shared" si="0"/>
        <v>0</v>
      </c>
    </row>
    <row r="32" spans="1:10" x14ac:dyDescent="0.3">
      <c r="A32" s="42">
        <v>45958</v>
      </c>
      <c r="B32" s="7" t="s">
        <v>37</v>
      </c>
      <c r="C32" s="1" t="s">
        <v>24</v>
      </c>
      <c r="D32" s="2">
        <v>467</v>
      </c>
      <c r="E32" t="str">
        <f>+VLOOKUP(tbl_registro[[#This Row],[Patente]],Pivot_Equipos!$A$1:$E$39,3,FALSE)</f>
        <v>GRUA HORQUILLA 2.5 TON ELECTRICA</v>
      </c>
      <c r="F32" s="2" t="str">
        <f>+VLOOKUP(tbl_registro[[#This Row],[Tipo Equipo]],Pivot_Equipos!$C$1:$E$39,2,FALSE)</f>
        <v>Grua</v>
      </c>
      <c r="H32">
        <v>195</v>
      </c>
      <c r="I32">
        <v>196.7</v>
      </c>
      <c r="J32" s="2">
        <f t="shared" si="0"/>
        <v>1.6999999999999886</v>
      </c>
    </row>
    <row r="33" spans="1:10" x14ac:dyDescent="0.3">
      <c r="A33" s="42">
        <v>45959</v>
      </c>
      <c r="B33" s="7" t="s">
        <v>37</v>
      </c>
      <c r="C33" s="1" t="s">
        <v>15</v>
      </c>
      <c r="D33" s="2">
        <v>465</v>
      </c>
      <c r="E33" t="str">
        <f>+VLOOKUP(tbl_registro[[#This Row],[Patente]],Pivot_Equipos!$A$1:$E$39,3,FALSE)</f>
        <v>GRUA HORQUILLA 16 TON</v>
      </c>
      <c r="F33" s="2" t="str">
        <f>+VLOOKUP(tbl_registro[[#This Row],[Tipo Equipo]],Pivot_Equipos!$C$1:$E$39,2,FALSE)</f>
        <v>Grua</v>
      </c>
      <c r="H33">
        <v>292</v>
      </c>
      <c r="I33">
        <v>293.10000000000002</v>
      </c>
      <c r="J33" s="2">
        <f t="shared" si="0"/>
        <v>1.1000000000000227</v>
      </c>
    </row>
    <row r="34" spans="1:10" x14ac:dyDescent="0.3">
      <c r="A34" s="42">
        <v>45959</v>
      </c>
      <c r="B34" s="7" t="s">
        <v>37</v>
      </c>
      <c r="C34" s="1" t="s">
        <v>16</v>
      </c>
      <c r="D34" s="2">
        <v>466</v>
      </c>
      <c r="E34" t="str">
        <f>+VLOOKUP(tbl_registro[[#This Row],[Patente]],Pivot_Equipos!$A$1:$E$39,3,FALSE)</f>
        <v>GRUA HORQUILLA 16 TON</v>
      </c>
      <c r="F34" s="2" t="str">
        <f>+VLOOKUP(tbl_registro[[#This Row],[Tipo Equipo]],Pivot_Equipos!$C$1:$E$39,2,FALSE)</f>
        <v>Grua</v>
      </c>
      <c r="H34">
        <v>275</v>
      </c>
      <c r="I34">
        <v>275</v>
      </c>
      <c r="J34" s="2">
        <f t="shared" si="0"/>
        <v>0</v>
      </c>
    </row>
    <row r="35" spans="1:10" x14ac:dyDescent="0.3">
      <c r="A35" s="42">
        <v>45959</v>
      </c>
      <c r="B35" s="7" t="s">
        <v>37</v>
      </c>
      <c r="C35" s="1" t="s">
        <v>17</v>
      </c>
      <c r="D35" s="2">
        <v>461</v>
      </c>
      <c r="E35" t="str">
        <f>+VLOOKUP(tbl_registro[[#This Row],[Patente]],Pivot_Equipos!$A$1:$E$39,3,FALSE)</f>
        <v>GRUA HORQUILLA 7 TON</v>
      </c>
      <c r="F35" s="2" t="str">
        <f>+VLOOKUP(tbl_registro[[#This Row],[Tipo Equipo]],Pivot_Equipos!$C$1:$E$39,2,FALSE)</f>
        <v>Grua</v>
      </c>
      <c r="H35">
        <v>64.2</v>
      </c>
      <c r="I35">
        <v>64.2</v>
      </c>
      <c r="J35" s="2">
        <f t="shared" si="0"/>
        <v>0</v>
      </c>
    </row>
    <row r="36" spans="1:10" x14ac:dyDescent="0.3">
      <c r="A36" s="42">
        <v>45959</v>
      </c>
      <c r="B36" s="7" t="s">
        <v>37</v>
      </c>
      <c r="C36" s="1" t="s">
        <v>18</v>
      </c>
      <c r="D36" s="2">
        <v>462</v>
      </c>
      <c r="E36" t="str">
        <f>+VLOOKUP(tbl_registro[[#This Row],[Patente]],Pivot_Equipos!$A$1:$E$39,3,FALSE)</f>
        <v>GRUA HORQUILLA 7 TON</v>
      </c>
      <c r="F36" s="2" t="str">
        <f>+VLOOKUP(tbl_registro[[#This Row],[Tipo Equipo]],Pivot_Equipos!$C$1:$E$39,2,FALSE)</f>
        <v>Grua</v>
      </c>
      <c r="H36">
        <v>200.5</v>
      </c>
      <c r="I36">
        <v>200.5</v>
      </c>
      <c r="J36" s="2">
        <f t="shared" si="0"/>
        <v>0</v>
      </c>
    </row>
    <row r="37" spans="1:10" x14ac:dyDescent="0.3">
      <c r="A37" s="42">
        <v>45959</v>
      </c>
      <c r="B37" s="7" t="s">
        <v>37</v>
      </c>
      <c r="C37" s="1" t="s">
        <v>19</v>
      </c>
      <c r="D37" s="2">
        <v>463</v>
      </c>
      <c r="E37" t="str">
        <f>+VLOOKUP(tbl_registro[[#This Row],[Patente]],Pivot_Equipos!$A$1:$E$39,3,FALSE)</f>
        <v>GRUA HORQUILLA 7 TON</v>
      </c>
      <c r="F37" s="2" t="str">
        <f>+VLOOKUP(tbl_registro[[#This Row],[Tipo Equipo]],Pivot_Equipos!$C$1:$E$39,2,FALSE)</f>
        <v>Grua</v>
      </c>
      <c r="H37">
        <v>162.69999999999999</v>
      </c>
      <c r="I37">
        <v>162.80000000000001</v>
      </c>
      <c r="J37" s="2">
        <f t="shared" si="0"/>
        <v>0.10000000000002274</v>
      </c>
    </row>
    <row r="38" spans="1:10" x14ac:dyDescent="0.3">
      <c r="A38" s="42">
        <v>45959</v>
      </c>
      <c r="B38" s="7" t="s">
        <v>37</v>
      </c>
      <c r="C38" s="1" t="s">
        <v>20</v>
      </c>
      <c r="D38" s="2">
        <v>464</v>
      </c>
      <c r="E38" t="str">
        <f>+VLOOKUP(tbl_registro[[#This Row],[Patente]],Pivot_Equipos!$A$1:$E$39,3,FALSE)</f>
        <v>GRUA HORQUILLA 7 TON</v>
      </c>
      <c r="F38" s="2" t="str">
        <f>+VLOOKUP(tbl_registro[[#This Row],[Tipo Equipo]],Pivot_Equipos!$C$1:$E$39,2,FALSE)</f>
        <v>Grua</v>
      </c>
      <c r="H38">
        <v>231</v>
      </c>
      <c r="I38">
        <v>233.9</v>
      </c>
      <c r="J38" s="2">
        <f t="shared" si="0"/>
        <v>2.9000000000000057</v>
      </c>
    </row>
    <row r="39" spans="1:10" x14ac:dyDescent="0.3">
      <c r="A39" s="42">
        <v>45959</v>
      </c>
      <c r="B39" s="7" t="s">
        <v>37</v>
      </c>
      <c r="C39" s="1" t="s">
        <v>21</v>
      </c>
      <c r="D39" s="2">
        <v>459</v>
      </c>
      <c r="E39" t="str">
        <f>+VLOOKUP(tbl_registro[[#This Row],[Patente]],Pivot_Equipos!$A$1:$E$39,3,FALSE)</f>
        <v>GRUA HORQUILLA 3 TON</v>
      </c>
      <c r="F39" s="2" t="str">
        <f>+VLOOKUP(tbl_registro[[#This Row],[Tipo Equipo]],Pivot_Equipos!$C$1:$E$39,2,FALSE)</f>
        <v>Grua</v>
      </c>
      <c r="H39">
        <v>118.6</v>
      </c>
      <c r="I39">
        <v>119</v>
      </c>
      <c r="J39" s="2">
        <f t="shared" si="0"/>
        <v>0.40000000000000568</v>
      </c>
    </row>
    <row r="40" spans="1:10" x14ac:dyDescent="0.3">
      <c r="A40" s="42">
        <v>45959</v>
      </c>
      <c r="B40" s="7" t="s">
        <v>37</v>
      </c>
      <c r="C40" s="1" t="s">
        <v>22</v>
      </c>
      <c r="D40" s="2">
        <v>460</v>
      </c>
      <c r="E40" t="str">
        <f>+VLOOKUP(tbl_registro[[#This Row],[Patente]],Pivot_Equipos!$A$1:$E$39,3,FALSE)</f>
        <v>GRUA HORQUILLA 3 TON</v>
      </c>
      <c r="F40" s="2" t="str">
        <f>+VLOOKUP(tbl_registro[[#This Row],[Tipo Equipo]],Pivot_Equipos!$C$1:$E$39,2,FALSE)</f>
        <v>Grua</v>
      </c>
      <c r="H40">
        <v>151.5</v>
      </c>
      <c r="I40">
        <v>152.4</v>
      </c>
      <c r="J40" s="2">
        <f t="shared" si="0"/>
        <v>0.90000000000000568</v>
      </c>
    </row>
    <row r="41" spans="1:10" x14ac:dyDescent="0.3">
      <c r="A41" s="42">
        <v>45959</v>
      </c>
      <c r="B41" s="7" t="s">
        <v>37</v>
      </c>
      <c r="C41" s="1" t="s">
        <v>23</v>
      </c>
      <c r="D41" s="2">
        <v>475</v>
      </c>
      <c r="E41" t="str">
        <f>+VLOOKUP(tbl_registro[[#This Row],[Patente]],Pivot_Equipos!$A$1:$E$39,3,FALSE)</f>
        <v>GRUA HORQUILLA 3.5 TON ELECTRICA</v>
      </c>
      <c r="F41" s="2" t="str">
        <f>+VLOOKUP(tbl_registro[[#This Row],[Tipo Equipo]],Pivot_Equipos!$C$1:$E$39,2,FALSE)</f>
        <v>Grua</v>
      </c>
      <c r="H41">
        <v>50</v>
      </c>
      <c r="I41">
        <v>50</v>
      </c>
      <c r="J41" s="2">
        <f t="shared" si="0"/>
        <v>0</v>
      </c>
    </row>
    <row r="42" spans="1:10" x14ac:dyDescent="0.3">
      <c r="A42" s="42">
        <v>45959</v>
      </c>
      <c r="B42" s="7" t="s">
        <v>37</v>
      </c>
      <c r="C42" s="1" t="s">
        <v>24</v>
      </c>
      <c r="D42" s="2">
        <v>467</v>
      </c>
      <c r="E42" t="str">
        <f>+VLOOKUP(tbl_registro[[#This Row],[Patente]],Pivot_Equipos!$A$1:$E$39,3,FALSE)</f>
        <v>GRUA HORQUILLA 2.5 TON ELECTRICA</v>
      </c>
      <c r="F42" s="2" t="str">
        <f>+VLOOKUP(tbl_registro[[#This Row],[Tipo Equipo]],Pivot_Equipos!$C$1:$E$39,2,FALSE)</f>
        <v>Grua</v>
      </c>
      <c r="H42">
        <v>196.7</v>
      </c>
      <c r="I42">
        <v>197</v>
      </c>
      <c r="J42" s="2">
        <f t="shared" si="0"/>
        <v>0.30000000000001137</v>
      </c>
    </row>
    <row r="43" spans="1:10" x14ac:dyDescent="0.3">
      <c r="A43" s="42">
        <v>45959</v>
      </c>
      <c r="B43" s="7" t="s">
        <v>37</v>
      </c>
      <c r="C43" s="1" t="s">
        <v>112</v>
      </c>
      <c r="D43" s="1" t="s">
        <v>111</v>
      </c>
      <c r="E43" t="str">
        <f>+VLOOKUP(tbl_registro[[#This Row],[Patente]],Pivot_Equipos!$A$1:$E$39,3,FALSE)</f>
        <v>TRACTO CAMIONES 28TN (RAMPLA)</v>
      </c>
      <c r="F43" s="2" t="str">
        <f>+VLOOKUP(tbl_registro[[#This Row],[Tipo Equipo]],Pivot_Equipos!$C$1:$E$39,2,FALSE)</f>
        <v>Tracto Camión</v>
      </c>
      <c r="H43" s="37">
        <v>5500</v>
      </c>
      <c r="I43">
        <v>5584</v>
      </c>
      <c r="J43" s="2">
        <f t="shared" si="0"/>
        <v>84</v>
      </c>
    </row>
    <row r="44" spans="1:10" x14ac:dyDescent="0.3">
      <c r="A44" s="42">
        <v>45959</v>
      </c>
      <c r="B44" s="7" t="s">
        <v>37</v>
      </c>
      <c r="C44" s="1" t="s">
        <v>114</v>
      </c>
      <c r="D44" s="1" t="s">
        <v>113</v>
      </c>
      <c r="E44" t="str">
        <f>+VLOOKUP(tbl_registro[[#This Row],[Patente]],Pivot_Equipos!$A$1:$E$39,3,FALSE)</f>
        <v>TRACTO CAMIONES 28TN (RAMPLA)</v>
      </c>
      <c r="F44" s="2" t="str">
        <f>+VLOOKUP(tbl_registro[[#This Row],[Tipo Equipo]],Pivot_Equipos!$C$1:$E$39,2,FALSE)</f>
        <v>Tracto Camión</v>
      </c>
      <c r="H44" s="37">
        <v>6750</v>
      </c>
      <c r="I44">
        <v>6805</v>
      </c>
      <c r="J44" s="2">
        <f t="shared" si="0"/>
        <v>55</v>
      </c>
    </row>
    <row r="45" spans="1:10" x14ac:dyDescent="0.3">
      <c r="A45" s="42">
        <v>45959</v>
      </c>
      <c r="B45" s="7" t="s">
        <v>37</v>
      </c>
      <c r="C45" s="1" t="s">
        <v>54</v>
      </c>
      <c r="D45" s="1" t="s">
        <v>115</v>
      </c>
      <c r="E45" t="str">
        <f>+VLOOKUP(tbl_registro[[#This Row],[Patente]],Pivot_Equipos!$A$1:$E$39,3,FALSE)</f>
        <v>TRACTO PARA CAMA BAJA 25 y 40 TON</v>
      </c>
      <c r="F45" s="2" t="str">
        <f>+VLOOKUP(tbl_registro[[#This Row],[Tipo Equipo]],Pivot_Equipos!$C$1:$E$39,2,FALSE)</f>
        <v>Tracto Camión</v>
      </c>
      <c r="H45" s="37">
        <v>9250</v>
      </c>
      <c r="I45">
        <v>9337</v>
      </c>
      <c r="J45" s="2">
        <f t="shared" si="0"/>
        <v>87</v>
      </c>
    </row>
    <row r="46" spans="1:10" x14ac:dyDescent="0.3">
      <c r="A46" s="42">
        <v>45959</v>
      </c>
      <c r="B46" s="7" t="s">
        <v>37</v>
      </c>
      <c r="C46" s="1" t="s">
        <v>117</v>
      </c>
      <c r="D46" s="1" t="s">
        <v>116</v>
      </c>
      <c r="E46" t="str">
        <f>+VLOOKUP(tbl_registro[[#This Row],[Patente]],Pivot_Equipos!$A$1:$E$39,3,FALSE)</f>
        <v>TRACTO PARA CAMA BAJA 25 y 40 TON</v>
      </c>
      <c r="F46" s="2" t="str">
        <f>+VLOOKUP(tbl_registro[[#This Row],[Tipo Equipo]],Pivot_Equipos!$C$1:$E$39,2,FALSE)</f>
        <v>Tracto Camión</v>
      </c>
      <c r="H46" s="37">
        <v>7480</v>
      </c>
      <c r="I46">
        <v>7543</v>
      </c>
      <c r="J46" s="2">
        <f t="shared" si="0"/>
        <v>63</v>
      </c>
    </row>
    <row r="47" spans="1:10" x14ac:dyDescent="0.3">
      <c r="A47" s="42">
        <v>45959</v>
      </c>
      <c r="B47" s="7" t="s">
        <v>37</v>
      </c>
      <c r="C47" s="1" t="s">
        <v>119</v>
      </c>
      <c r="D47" s="1" t="s">
        <v>118</v>
      </c>
      <c r="E47" t="str">
        <f>+VLOOKUP(tbl_registro[[#This Row],[Patente]],Pivot_Equipos!$A$1:$E$39,3,FALSE)</f>
        <v>TRACTO PARA CAMA BAJA 60 y 100 TON</v>
      </c>
      <c r="F47" s="2" t="str">
        <f>+VLOOKUP(tbl_registro[[#This Row],[Tipo Equipo]],Pivot_Equipos!$C$1:$E$39,2,FALSE)</f>
        <v>Tracto Camión</v>
      </c>
      <c r="H47" s="37">
        <v>227800</v>
      </c>
      <c r="I47">
        <v>227834</v>
      </c>
      <c r="J47" s="2">
        <f t="shared" si="0"/>
        <v>34</v>
      </c>
    </row>
    <row r="48" spans="1:10" x14ac:dyDescent="0.3">
      <c r="A48" s="42">
        <v>45959</v>
      </c>
      <c r="B48" s="7" t="s">
        <v>37</v>
      </c>
      <c r="C48" s="1" t="s">
        <v>121</v>
      </c>
      <c r="D48" s="1" t="s">
        <v>120</v>
      </c>
      <c r="E48" t="str">
        <f>+VLOOKUP(tbl_registro[[#This Row],[Patente]],Pivot_Equipos!$A$1:$E$39,3,FALSE)</f>
        <v>CAMIÓN 10 TON</v>
      </c>
      <c r="F48" s="2" t="str">
        <f>+VLOOKUP(tbl_registro[[#This Row],[Tipo Equipo]],Pivot_Equipos!$C$1:$E$39,2,FALSE)</f>
        <v>Camión Plano</v>
      </c>
      <c r="H48" s="37">
        <v>5950</v>
      </c>
      <c r="I48">
        <v>6014</v>
      </c>
      <c r="J48" s="2">
        <f t="shared" si="0"/>
        <v>64</v>
      </c>
    </row>
    <row r="49" spans="1:10" x14ac:dyDescent="0.3">
      <c r="A49" s="42">
        <v>45960</v>
      </c>
      <c r="B49" s="7" t="s">
        <v>37</v>
      </c>
      <c r="C49" s="1" t="s">
        <v>46</v>
      </c>
      <c r="D49" s="1" t="s">
        <v>127</v>
      </c>
      <c r="E49" t="str">
        <f>+VLOOKUP(tbl_registro[[#This Row],[Patente]],Pivot_Equipos!$A$1:$E$39,3,FALSE)</f>
        <v>FURGON PEUGEOT</v>
      </c>
      <c r="F49" s="2" t="str">
        <f>+VLOOKUP(tbl_registro[[#This Row],[Tipo Equipo]],Pivot_Equipos!$C$1:$E$39,2,FALSE)</f>
        <v>Furgón</v>
      </c>
      <c r="H49">
        <v>7222</v>
      </c>
      <c r="I49">
        <v>7250</v>
      </c>
      <c r="J49" s="2">
        <f t="shared" si="0"/>
        <v>28</v>
      </c>
    </row>
    <row r="50" spans="1:10" x14ac:dyDescent="0.3">
      <c r="A50" s="42">
        <v>45960</v>
      </c>
      <c r="B50" s="7" t="s">
        <v>37</v>
      </c>
      <c r="C50" s="1" t="s">
        <v>100</v>
      </c>
      <c r="D50" s="1" t="s">
        <v>93</v>
      </c>
      <c r="E50" t="str">
        <f>+VLOOKUP(tbl_registro[[#This Row],[Patente]],Pivot_Equipos!$A$1:$E$39,3,FALSE)</f>
        <v>CAMIONETA</v>
      </c>
      <c r="F50" s="2" t="str">
        <f>+VLOOKUP(tbl_registro[[#This Row],[Tipo Equipo]],Pivot_Equipos!$C$1:$E$39,2,FALSE)</f>
        <v>Camioneta</v>
      </c>
      <c r="H50">
        <v>3404</v>
      </c>
      <c r="I50">
        <v>3404</v>
      </c>
      <c r="J50" s="2">
        <f t="shared" si="0"/>
        <v>0</v>
      </c>
    </row>
    <row r="51" spans="1:10" x14ac:dyDescent="0.3">
      <c r="A51" s="42">
        <v>45960</v>
      </c>
      <c r="B51" s="7" t="s">
        <v>37</v>
      </c>
      <c r="C51" s="1" t="s">
        <v>101</v>
      </c>
      <c r="D51" s="1" t="s">
        <v>94</v>
      </c>
      <c r="E51" t="str">
        <f>+VLOOKUP(tbl_registro[[#This Row],[Patente]],Pivot_Equipos!$A$1:$E$39,3,FALSE)</f>
        <v>CAMIONETA</v>
      </c>
      <c r="F51" s="2" t="str">
        <f>+VLOOKUP(tbl_registro[[#This Row],[Tipo Equipo]],Pivot_Equipos!$C$1:$E$39,2,FALSE)</f>
        <v>Camioneta</v>
      </c>
      <c r="H51">
        <v>7497</v>
      </c>
      <c r="I51">
        <v>7551</v>
      </c>
      <c r="J51" s="2">
        <f t="shared" si="0"/>
        <v>54</v>
      </c>
    </row>
    <row r="52" spans="1:10" x14ac:dyDescent="0.3">
      <c r="A52" s="42">
        <v>45960</v>
      </c>
      <c r="B52" s="7" t="s">
        <v>37</v>
      </c>
      <c r="C52" s="1" t="s">
        <v>102</v>
      </c>
      <c r="D52" s="1" t="s">
        <v>95</v>
      </c>
      <c r="E52" t="str">
        <f>+VLOOKUP(tbl_registro[[#This Row],[Patente]],Pivot_Equipos!$A$1:$E$39,3,FALSE)</f>
        <v>CAMIONETA</v>
      </c>
      <c r="F52" s="2" t="str">
        <f>+VLOOKUP(tbl_registro[[#This Row],[Tipo Equipo]],Pivot_Equipos!$C$1:$E$39,2,FALSE)</f>
        <v>Camioneta</v>
      </c>
      <c r="H52">
        <v>3050</v>
      </c>
      <c r="I52">
        <v>3070</v>
      </c>
      <c r="J52" s="2">
        <f t="shared" si="0"/>
        <v>20</v>
      </c>
    </row>
    <row r="53" spans="1:10" x14ac:dyDescent="0.3">
      <c r="A53" s="42">
        <v>45960</v>
      </c>
      <c r="B53" s="7" t="s">
        <v>37</v>
      </c>
      <c r="C53" s="1" t="s">
        <v>103</v>
      </c>
      <c r="D53" s="1" t="s">
        <v>96</v>
      </c>
      <c r="E53" t="str">
        <f>+VLOOKUP(tbl_registro[[#This Row],[Patente]],Pivot_Equipos!$A$1:$E$39,3,FALSE)</f>
        <v>CAMIONETA</v>
      </c>
      <c r="F53" s="2" t="str">
        <f>+VLOOKUP(tbl_registro[[#This Row],[Tipo Equipo]],Pivot_Equipos!$C$1:$E$39,2,FALSE)</f>
        <v>Camioneta</v>
      </c>
      <c r="H53">
        <v>7535</v>
      </c>
      <c r="I53">
        <v>7550</v>
      </c>
      <c r="J53" s="2">
        <f t="shared" si="0"/>
        <v>15</v>
      </c>
    </row>
    <row r="54" spans="1:10" x14ac:dyDescent="0.3">
      <c r="A54" s="42">
        <v>45960</v>
      </c>
      <c r="B54" s="7" t="s">
        <v>37</v>
      </c>
      <c r="C54" s="1" t="s">
        <v>104</v>
      </c>
      <c r="D54" s="1" t="s">
        <v>97</v>
      </c>
      <c r="E54" t="str">
        <f>+VLOOKUP(tbl_registro[[#This Row],[Patente]],Pivot_Equipos!$A$1:$E$39,3,FALSE)</f>
        <v>CAMIONETA</v>
      </c>
      <c r="F54" s="2" t="str">
        <f>+VLOOKUP(tbl_registro[[#This Row],[Tipo Equipo]],Pivot_Equipos!$C$1:$E$39,2,FALSE)</f>
        <v>Camioneta</v>
      </c>
      <c r="H54">
        <v>4407</v>
      </c>
      <c r="I54">
        <v>4461</v>
      </c>
      <c r="J54" s="2">
        <f t="shared" si="0"/>
        <v>54</v>
      </c>
    </row>
    <row r="55" spans="1:10" x14ac:dyDescent="0.3">
      <c r="A55" s="42">
        <v>45960</v>
      </c>
      <c r="B55" s="7" t="s">
        <v>37</v>
      </c>
      <c r="C55" s="1" t="s">
        <v>105</v>
      </c>
      <c r="D55" s="1" t="s">
        <v>98</v>
      </c>
      <c r="E55" t="str">
        <f>+VLOOKUP(tbl_registro[[#This Row],[Patente]],Pivot_Equipos!$A$1:$E$39,3,FALSE)</f>
        <v>CAMIONETA</v>
      </c>
      <c r="F55" s="2" t="str">
        <f>+VLOOKUP(tbl_registro[[#This Row],[Tipo Equipo]],Pivot_Equipos!$C$1:$E$39,2,FALSE)</f>
        <v>Camioneta</v>
      </c>
      <c r="H55">
        <v>3368</v>
      </c>
      <c r="I55">
        <v>3389</v>
      </c>
      <c r="J55" s="2">
        <f t="shared" si="0"/>
        <v>21</v>
      </c>
    </row>
    <row r="56" spans="1:10" x14ac:dyDescent="0.3">
      <c r="A56" s="42">
        <v>45960</v>
      </c>
      <c r="B56" s="7" t="s">
        <v>37</v>
      </c>
      <c r="C56" s="1" t="s">
        <v>106</v>
      </c>
      <c r="D56" s="1" t="s">
        <v>99</v>
      </c>
      <c r="E56" t="str">
        <f>+VLOOKUP(tbl_registro[[#This Row],[Patente]],Pivot_Equipos!$A$1:$E$39,3,FALSE)</f>
        <v>CAMIONETA</v>
      </c>
      <c r="F56" s="2" t="str">
        <f>+VLOOKUP(tbl_registro[[#This Row],[Tipo Equipo]],Pivot_Equipos!$C$1:$E$39,2,FALSE)</f>
        <v>Camioneta</v>
      </c>
      <c r="H56">
        <v>4462</v>
      </c>
      <c r="I56">
        <v>4523</v>
      </c>
      <c r="J56" s="2">
        <f t="shared" si="0"/>
        <v>61</v>
      </c>
    </row>
    <row r="57" spans="1:10" x14ac:dyDescent="0.3">
      <c r="A57" s="42">
        <v>45961</v>
      </c>
      <c r="B57" s="7" t="s">
        <v>37</v>
      </c>
      <c r="C57" s="1" t="s">
        <v>46</v>
      </c>
      <c r="D57" s="1" t="s">
        <v>127</v>
      </c>
      <c r="E57" t="str">
        <f>+VLOOKUP(tbl_registro[[#This Row],[Patente]],Pivot_Equipos!$A$1:$E$39,3,FALSE)</f>
        <v>FURGON PEUGEOT</v>
      </c>
      <c r="F57" s="2" t="str">
        <f>+VLOOKUP(tbl_registro[[#This Row],[Tipo Equipo]],Pivot_Equipos!$C$1:$E$39,2,FALSE)</f>
        <v>Furgón</v>
      </c>
      <c r="H57">
        <v>7250</v>
      </c>
      <c r="I57">
        <v>7250</v>
      </c>
      <c r="J57" s="2">
        <f t="shared" si="0"/>
        <v>0</v>
      </c>
    </row>
    <row r="58" spans="1:10" x14ac:dyDescent="0.3">
      <c r="A58" s="42">
        <v>45961</v>
      </c>
      <c r="B58" s="7" t="s">
        <v>37</v>
      </c>
      <c r="C58" s="1" t="s">
        <v>100</v>
      </c>
      <c r="D58" s="1" t="s">
        <v>93</v>
      </c>
      <c r="E58" t="str">
        <f>+VLOOKUP(tbl_registro[[#This Row],[Patente]],Pivot_Equipos!$A$1:$E$39,3,FALSE)</f>
        <v>CAMIONETA</v>
      </c>
      <c r="F58" s="2" t="str">
        <f>+VLOOKUP(tbl_registro[[#This Row],[Tipo Equipo]],Pivot_Equipos!$C$1:$E$39,2,FALSE)</f>
        <v>Camioneta</v>
      </c>
      <c r="H58">
        <v>3404</v>
      </c>
      <c r="I58">
        <v>3509.5</v>
      </c>
      <c r="J58" s="2">
        <f t="shared" si="0"/>
        <v>105.5</v>
      </c>
    </row>
    <row r="59" spans="1:10" x14ac:dyDescent="0.3">
      <c r="A59" s="42">
        <v>45961</v>
      </c>
      <c r="B59" s="7" t="s">
        <v>37</v>
      </c>
      <c r="C59" s="1" t="s">
        <v>101</v>
      </c>
      <c r="D59" s="1" t="s">
        <v>94</v>
      </c>
      <c r="E59" t="str">
        <f>+VLOOKUP(tbl_registro[[#This Row],[Patente]],Pivot_Equipos!$A$1:$E$39,3,FALSE)</f>
        <v>CAMIONETA</v>
      </c>
      <c r="F59" s="2" t="str">
        <f>+VLOOKUP(tbl_registro[[#This Row],[Tipo Equipo]],Pivot_Equipos!$C$1:$E$39,2,FALSE)</f>
        <v>Camioneta</v>
      </c>
      <c r="H59">
        <v>7551</v>
      </c>
      <c r="I59">
        <v>7836</v>
      </c>
      <c r="J59" s="2">
        <f t="shared" si="0"/>
        <v>285</v>
      </c>
    </row>
    <row r="60" spans="1:10" x14ac:dyDescent="0.3">
      <c r="A60" s="42">
        <v>45961</v>
      </c>
      <c r="B60" s="7" t="s">
        <v>37</v>
      </c>
      <c r="C60" s="1" t="s">
        <v>102</v>
      </c>
      <c r="D60" s="1" t="s">
        <v>95</v>
      </c>
      <c r="E60" t="str">
        <f>+VLOOKUP(tbl_registro[[#This Row],[Patente]],Pivot_Equipos!$A$1:$E$39,3,FALSE)</f>
        <v>CAMIONETA</v>
      </c>
      <c r="F60" s="2" t="str">
        <f>+VLOOKUP(tbl_registro[[#This Row],[Tipo Equipo]],Pivot_Equipos!$C$1:$E$39,2,FALSE)</f>
        <v>Camioneta</v>
      </c>
      <c r="H60">
        <v>3070</v>
      </c>
      <c r="I60">
        <v>3070</v>
      </c>
      <c r="J60" s="2">
        <f t="shared" si="0"/>
        <v>0</v>
      </c>
    </row>
    <row r="61" spans="1:10" x14ac:dyDescent="0.3">
      <c r="A61" s="42">
        <v>45961</v>
      </c>
      <c r="B61" s="7" t="s">
        <v>37</v>
      </c>
      <c r="C61" s="1" t="s">
        <v>103</v>
      </c>
      <c r="D61" s="1" t="s">
        <v>96</v>
      </c>
      <c r="E61" t="str">
        <f>+VLOOKUP(tbl_registro[[#This Row],[Patente]],Pivot_Equipos!$A$1:$E$39,3,FALSE)</f>
        <v>CAMIONETA</v>
      </c>
      <c r="F61" s="2" t="str">
        <f>+VLOOKUP(tbl_registro[[#This Row],[Tipo Equipo]],Pivot_Equipos!$C$1:$E$39,2,FALSE)</f>
        <v>Camioneta</v>
      </c>
      <c r="H61">
        <v>7550</v>
      </c>
      <c r="I61">
        <v>7550</v>
      </c>
      <c r="J61" s="2">
        <f t="shared" si="0"/>
        <v>0</v>
      </c>
    </row>
    <row r="62" spans="1:10" x14ac:dyDescent="0.3">
      <c r="A62" s="42">
        <v>45961</v>
      </c>
      <c r="B62" s="7" t="s">
        <v>37</v>
      </c>
      <c r="C62" s="1" t="s">
        <v>104</v>
      </c>
      <c r="D62" s="1" t="s">
        <v>97</v>
      </c>
      <c r="E62" t="str">
        <f>+VLOOKUP(tbl_registro[[#This Row],[Patente]],Pivot_Equipos!$A$1:$E$39,3,FALSE)</f>
        <v>CAMIONETA</v>
      </c>
      <c r="F62" s="2" t="str">
        <f>+VLOOKUP(tbl_registro[[#This Row],[Tipo Equipo]],Pivot_Equipos!$C$1:$E$39,2,FALSE)</f>
        <v>Camioneta</v>
      </c>
      <c r="H62">
        <v>4461</v>
      </c>
      <c r="I62">
        <v>4699</v>
      </c>
      <c r="J62" s="2">
        <f t="shared" si="0"/>
        <v>238</v>
      </c>
    </row>
    <row r="63" spans="1:10" x14ac:dyDescent="0.3">
      <c r="A63" s="42">
        <v>45961</v>
      </c>
      <c r="B63" s="7" t="s">
        <v>37</v>
      </c>
      <c r="C63" s="1" t="s">
        <v>105</v>
      </c>
      <c r="D63" s="1" t="s">
        <v>98</v>
      </c>
      <c r="E63" t="str">
        <f>+VLOOKUP(tbl_registro[[#This Row],[Patente]],Pivot_Equipos!$A$1:$E$39,3,FALSE)</f>
        <v>CAMIONETA</v>
      </c>
      <c r="F63" s="2" t="str">
        <f>+VLOOKUP(tbl_registro[[#This Row],[Tipo Equipo]],Pivot_Equipos!$C$1:$E$39,2,FALSE)</f>
        <v>Camioneta</v>
      </c>
      <c r="H63">
        <v>3389</v>
      </c>
      <c r="I63">
        <v>3412.5</v>
      </c>
      <c r="J63" s="2">
        <f t="shared" si="0"/>
        <v>23.5</v>
      </c>
    </row>
    <row r="64" spans="1:10" x14ac:dyDescent="0.3">
      <c r="A64" s="42">
        <v>45961</v>
      </c>
      <c r="B64" s="7" t="s">
        <v>37</v>
      </c>
      <c r="C64" s="1" t="s">
        <v>106</v>
      </c>
      <c r="D64" s="1" t="s">
        <v>99</v>
      </c>
      <c r="E64" t="str">
        <f>+VLOOKUP(tbl_registro[[#This Row],[Patente]],Pivot_Equipos!$A$1:$E$39,3,FALSE)</f>
        <v>CAMIONETA</v>
      </c>
      <c r="F64" s="2" t="str">
        <f>+VLOOKUP(tbl_registro[[#This Row],[Tipo Equipo]],Pivot_Equipos!$C$1:$E$39,2,FALSE)</f>
        <v>Camioneta</v>
      </c>
      <c r="H64">
        <v>4523</v>
      </c>
      <c r="I64">
        <v>4593</v>
      </c>
      <c r="J64" s="2">
        <f t="shared" si="0"/>
        <v>70</v>
      </c>
    </row>
    <row r="65" spans="1:10" x14ac:dyDescent="0.3">
      <c r="A65" s="42">
        <v>45962</v>
      </c>
      <c r="B65" s="1" t="s">
        <v>128</v>
      </c>
      <c r="C65" s="1" t="s">
        <v>46</v>
      </c>
      <c r="D65" s="1" t="s">
        <v>127</v>
      </c>
      <c r="E65" t="str">
        <f>+VLOOKUP(tbl_registro[[#This Row],[Patente]],Pivot_Equipos!$A$1:$E$39,3,FALSE)</f>
        <v>FURGON PEUGEOT</v>
      </c>
      <c r="F65" s="2" t="str">
        <f>+VLOOKUP(tbl_registro[[#This Row],[Tipo Equipo]],Pivot_Equipos!$C$1:$E$39,2,FALSE)</f>
        <v>Furgón</v>
      </c>
      <c r="H65">
        <v>7250</v>
      </c>
      <c r="I65">
        <v>7250</v>
      </c>
      <c r="J65" s="2">
        <f t="shared" si="0"/>
        <v>0</v>
      </c>
    </row>
    <row r="66" spans="1:10" x14ac:dyDescent="0.3">
      <c r="A66" s="42">
        <v>45962</v>
      </c>
      <c r="B66" s="1" t="s">
        <v>128</v>
      </c>
      <c r="C66" s="1" t="s">
        <v>100</v>
      </c>
      <c r="D66" s="1" t="s">
        <v>93</v>
      </c>
      <c r="E66" t="str">
        <f>+VLOOKUP(tbl_registro[[#This Row],[Patente]],Pivot_Equipos!$A$1:$E$39,3,FALSE)</f>
        <v>CAMIONETA</v>
      </c>
      <c r="F66" s="2" t="str">
        <f>+VLOOKUP(tbl_registro[[#This Row],[Tipo Equipo]],Pivot_Equipos!$C$1:$E$39,2,FALSE)</f>
        <v>Camioneta</v>
      </c>
      <c r="H66">
        <v>3509.5</v>
      </c>
      <c r="I66">
        <v>3509.5</v>
      </c>
      <c r="J66" s="2">
        <f t="shared" ref="J66:J129" si="2">I66-H66</f>
        <v>0</v>
      </c>
    </row>
    <row r="67" spans="1:10" x14ac:dyDescent="0.3">
      <c r="A67" s="42">
        <v>45962</v>
      </c>
      <c r="B67" s="1" t="s">
        <v>128</v>
      </c>
      <c r="C67" s="1" t="s">
        <v>101</v>
      </c>
      <c r="D67" s="1" t="s">
        <v>94</v>
      </c>
      <c r="E67" t="str">
        <f>+VLOOKUP(tbl_registro[[#This Row],[Patente]],Pivot_Equipos!$A$1:$E$39,3,FALSE)</f>
        <v>CAMIONETA</v>
      </c>
      <c r="F67" s="2" t="str">
        <f>+VLOOKUP(tbl_registro[[#This Row],[Tipo Equipo]],Pivot_Equipos!$C$1:$E$39,2,FALSE)</f>
        <v>Camioneta</v>
      </c>
      <c r="H67">
        <v>7836</v>
      </c>
      <c r="I67">
        <v>7910</v>
      </c>
      <c r="J67" s="2">
        <f t="shared" si="2"/>
        <v>74</v>
      </c>
    </row>
    <row r="68" spans="1:10" x14ac:dyDescent="0.3">
      <c r="A68" s="42">
        <v>45962</v>
      </c>
      <c r="B68" s="1" t="s">
        <v>128</v>
      </c>
      <c r="C68" s="1" t="s">
        <v>102</v>
      </c>
      <c r="D68" s="1" t="s">
        <v>95</v>
      </c>
      <c r="E68" t="str">
        <f>+VLOOKUP(tbl_registro[[#This Row],[Patente]],Pivot_Equipos!$A$1:$E$39,3,FALSE)</f>
        <v>CAMIONETA</v>
      </c>
      <c r="F68" s="2" t="str">
        <f>+VLOOKUP(tbl_registro[[#This Row],[Tipo Equipo]],Pivot_Equipos!$C$1:$E$39,2,FALSE)</f>
        <v>Camioneta</v>
      </c>
      <c r="H68">
        <v>3070</v>
      </c>
      <c r="I68">
        <v>3263</v>
      </c>
      <c r="J68" s="2">
        <f t="shared" si="2"/>
        <v>193</v>
      </c>
    </row>
    <row r="69" spans="1:10" x14ac:dyDescent="0.3">
      <c r="A69" s="42">
        <v>45962</v>
      </c>
      <c r="B69" s="1" t="s">
        <v>128</v>
      </c>
      <c r="C69" s="1" t="s">
        <v>103</v>
      </c>
      <c r="D69" s="1" t="s">
        <v>96</v>
      </c>
      <c r="E69" t="str">
        <f>+VLOOKUP(tbl_registro[[#This Row],[Patente]],Pivot_Equipos!$A$1:$E$39,3,FALSE)</f>
        <v>CAMIONETA</v>
      </c>
      <c r="F69" s="2" t="str">
        <f>+VLOOKUP(tbl_registro[[#This Row],[Tipo Equipo]],Pivot_Equipos!$C$1:$E$39,2,FALSE)</f>
        <v>Camioneta</v>
      </c>
      <c r="H69">
        <v>7550</v>
      </c>
      <c r="I69">
        <v>7550</v>
      </c>
      <c r="J69" s="2">
        <f t="shared" si="2"/>
        <v>0</v>
      </c>
    </row>
    <row r="70" spans="1:10" x14ac:dyDescent="0.3">
      <c r="A70" s="42">
        <v>45962</v>
      </c>
      <c r="B70" s="1" t="s">
        <v>128</v>
      </c>
      <c r="C70" s="1" t="s">
        <v>104</v>
      </c>
      <c r="D70" s="1" t="s">
        <v>97</v>
      </c>
      <c r="E70" t="str">
        <f>+VLOOKUP(tbl_registro[[#This Row],[Patente]],Pivot_Equipos!$A$1:$E$39,3,FALSE)</f>
        <v>CAMIONETA</v>
      </c>
      <c r="F70" s="2" t="str">
        <f>+VLOOKUP(tbl_registro[[#This Row],[Tipo Equipo]],Pivot_Equipos!$C$1:$E$39,2,FALSE)</f>
        <v>Camioneta</v>
      </c>
      <c r="H70">
        <v>4699</v>
      </c>
      <c r="I70">
        <v>4732</v>
      </c>
      <c r="J70" s="2">
        <f t="shared" si="2"/>
        <v>33</v>
      </c>
    </row>
    <row r="71" spans="1:10" x14ac:dyDescent="0.3">
      <c r="A71" s="42">
        <v>45962</v>
      </c>
      <c r="B71" s="1" t="s">
        <v>128</v>
      </c>
      <c r="C71" s="1" t="s">
        <v>105</v>
      </c>
      <c r="D71" s="1" t="s">
        <v>98</v>
      </c>
      <c r="E71" t="str">
        <f>+VLOOKUP(tbl_registro[[#This Row],[Patente]],Pivot_Equipos!$A$1:$E$39,3,FALSE)</f>
        <v>CAMIONETA</v>
      </c>
      <c r="F71" s="2" t="str">
        <f>+VLOOKUP(tbl_registro[[#This Row],[Tipo Equipo]],Pivot_Equipos!$C$1:$E$39,2,FALSE)</f>
        <v>Camioneta</v>
      </c>
      <c r="H71">
        <v>3412.5</v>
      </c>
      <c r="I71">
        <v>3412.5</v>
      </c>
      <c r="J71" s="2">
        <f t="shared" si="2"/>
        <v>0</v>
      </c>
    </row>
    <row r="72" spans="1:10" x14ac:dyDescent="0.3">
      <c r="A72" s="42">
        <v>45962</v>
      </c>
      <c r="B72" s="1" t="s">
        <v>128</v>
      </c>
      <c r="C72" s="1" t="s">
        <v>106</v>
      </c>
      <c r="D72" s="1" t="s">
        <v>99</v>
      </c>
      <c r="E72" t="str">
        <f>+VLOOKUP(tbl_registro[[#This Row],[Patente]],Pivot_Equipos!$A$1:$E$39,3,FALSE)</f>
        <v>CAMIONETA</v>
      </c>
      <c r="F72" s="2" t="str">
        <f>+VLOOKUP(tbl_registro[[#This Row],[Tipo Equipo]],Pivot_Equipos!$C$1:$E$39,2,FALSE)</f>
        <v>Camioneta</v>
      </c>
      <c r="H72">
        <v>4593</v>
      </c>
      <c r="I72">
        <v>4646</v>
      </c>
      <c r="J72" s="2">
        <f t="shared" si="2"/>
        <v>53</v>
      </c>
    </row>
    <row r="73" spans="1:10" x14ac:dyDescent="0.3">
      <c r="A73" s="42">
        <v>45963</v>
      </c>
      <c r="B73" s="1" t="s">
        <v>128</v>
      </c>
      <c r="C73" s="1" t="s">
        <v>46</v>
      </c>
      <c r="D73" s="1" t="s">
        <v>127</v>
      </c>
      <c r="E73" t="str">
        <f>+VLOOKUP(tbl_registro[[#This Row],[Patente]],Pivot_Equipos!$A$1:$E$39,3,FALSE)</f>
        <v>FURGON PEUGEOT</v>
      </c>
      <c r="F73" s="2" t="str">
        <f>+VLOOKUP(tbl_registro[[#This Row],[Tipo Equipo]],Pivot_Equipos!$C$1:$E$39,2,FALSE)</f>
        <v>Furgón</v>
      </c>
      <c r="H73">
        <v>7250</v>
      </c>
      <c r="I73">
        <v>7250</v>
      </c>
      <c r="J73" s="2">
        <f t="shared" si="2"/>
        <v>0</v>
      </c>
    </row>
    <row r="74" spans="1:10" x14ac:dyDescent="0.3">
      <c r="A74" s="42">
        <v>45963</v>
      </c>
      <c r="B74" s="1" t="s">
        <v>128</v>
      </c>
      <c r="C74" s="1" t="s">
        <v>100</v>
      </c>
      <c r="D74" s="1" t="s">
        <v>93</v>
      </c>
      <c r="E74" t="str">
        <f>+VLOOKUP(tbl_registro[[#This Row],[Patente]],Pivot_Equipos!$A$1:$E$39,3,FALSE)</f>
        <v>CAMIONETA</v>
      </c>
      <c r="F74" s="2" t="str">
        <f>+VLOOKUP(tbl_registro[[#This Row],[Tipo Equipo]],Pivot_Equipos!$C$1:$E$39,2,FALSE)</f>
        <v>Camioneta</v>
      </c>
      <c r="H74">
        <v>3509.5</v>
      </c>
      <c r="I74">
        <v>3509.5</v>
      </c>
      <c r="J74" s="2">
        <f t="shared" si="2"/>
        <v>0</v>
      </c>
    </row>
    <row r="75" spans="1:10" x14ac:dyDescent="0.3">
      <c r="A75" s="42">
        <v>45963</v>
      </c>
      <c r="B75" s="1" t="s">
        <v>128</v>
      </c>
      <c r="C75" s="1" t="s">
        <v>101</v>
      </c>
      <c r="D75" s="1" t="s">
        <v>94</v>
      </c>
      <c r="E75" t="str">
        <f>+VLOOKUP(tbl_registro[[#This Row],[Patente]],Pivot_Equipos!$A$1:$E$39,3,FALSE)</f>
        <v>CAMIONETA</v>
      </c>
      <c r="F75" s="2" t="str">
        <f>+VLOOKUP(tbl_registro[[#This Row],[Tipo Equipo]],Pivot_Equipos!$C$1:$E$39,2,FALSE)</f>
        <v>Camioneta</v>
      </c>
      <c r="H75">
        <v>7910</v>
      </c>
      <c r="I75">
        <v>8016</v>
      </c>
      <c r="J75" s="2">
        <f t="shared" si="2"/>
        <v>106</v>
      </c>
    </row>
    <row r="76" spans="1:10" x14ac:dyDescent="0.3">
      <c r="A76" s="42">
        <v>45963</v>
      </c>
      <c r="B76" s="1" t="s">
        <v>128</v>
      </c>
      <c r="C76" s="1" t="s">
        <v>102</v>
      </c>
      <c r="D76" s="1" t="s">
        <v>95</v>
      </c>
      <c r="E76" t="str">
        <f>+VLOOKUP(tbl_registro[[#This Row],[Patente]],Pivot_Equipos!$A$1:$E$39,3,FALSE)</f>
        <v>CAMIONETA</v>
      </c>
      <c r="F76" s="2" t="str">
        <f>+VLOOKUP(tbl_registro[[#This Row],[Tipo Equipo]],Pivot_Equipos!$C$1:$E$39,2,FALSE)</f>
        <v>Camioneta</v>
      </c>
      <c r="H76">
        <v>3263</v>
      </c>
      <c r="I76">
        <v>3265.2</v>
      </c>
      <c r="J76" s="2">
        <f t="shared" si="2"/>
        <v>2.1999999999998181</v>
      </c>
    </row>
    <row r="77" spans="1:10" x14ac:dyDescent="0.3">
      <c r="A77" s="42">
        <v>45963</v>
      </c>
      <c r="B77" s="1" t="s">
        <v>128</v>
      </c>
      <c r="C77" s="1" t="s">
        <v>103</v>
      </c>
      <c r="D77" s="1" t="s">
        <v>96</v>
      </c>
      <c r="E77" t="str">
        <f>+VLOOKUP(tbl_registro[[#This Row],[Patente]],Pivot_Equipos!$A$1:$E$39,3,FALSE)</f>
        <v>CAMIONETA</v>
      </c>
      <c r="F77" s="2" t="str">
        <f>+VLOOKUP(tbl_registro[[#This Row],[Tipo Equipo]],Pivot_Equipos!$C$1:$E$39,2,FALSE)</f>
        <v>Camioneta</v>
      </c>
      <c r="H77">
        <v>7550</v>
      </c>
      <c r="I77">
        <v>7550</v>
      </c>
      <c r="J77" s="2">
        <f t="shared" si="2"/>
        <v>0</v>
      </c>
    </row>
    <row r="78" spans="1:10" x14ac:dyDescent="0.3">
      <c r="A78" s="42">
        <v>45963</v>
      </c>
      <c r="B78" s="1" t="s">
        <v>128</v>
      </c>
      <c r="C78" s="1" t="s">
        <v>104</v>
      </c>
      <c r="D78" s="1" t="s">
        <v>97</v>
      </c>
      <c r="E78" t="str">
        <f>+VLOOKUP(tbl_registro[[#This Row],[Patente]],Pivot_Equipos!$A$1:$E$39,3,FALSE)</f>
        <v>CAMIONETA</v>
      </c>
      <c r="F78" s="2" t="str">
        <f>+VLOOKUP(tbl_registro[[#This Row],[Tipo Equipo]],Pivot_Equipos!$C$1:$E$39,2,FALSE)</f>
        <v>Camioneta</v>
      </c>
      <c r="H78">
        <v>4732</v>
      </c>
      <c r="I78">
        <v>4732</v>
      </c>
      <c r="J78" s="2">
        <f t="shared" si="2"/>
        <v>0</v>
      </c>
    </row>
    <row r="79" spans="1:10" x14ac:dyDescent="0.3">
      <c r="A79" s="42">
        <v>45963</v>
      </c>
      <c r="B79" s="1" t="s">
        <v>128</v>
      </c>
      <c r="C79" s="1" t="s">
        <v>105</v>
      </c>
      <c r="D79" s="1" t="s">
        <v>98</v>
      </c>
      <c r="E79" t="str">
        <f>+VLOOKUP(tbl_registro[[#This Row],[Patente]],Pivot_Equipos!$A$1:$E$39,3,FALSE)</f>
        <v>CAMIONETA</v>
      </c>
      <c r="F79" s="2" t="str">
        <f>+VLOOKUP(tbl_registro[[#This Row],[Tipo Equipo]],Pivot_Equipos!$C$1:$E$39,2,FALSE)</f>
        <v>Camioneta</v>
      </c>
      <c r="H79">
        <v>3412.5</v>
      </c>
      <c r="I79">
        <v>3412.5</v>
      </c>
      <c r="J79" s="2">
        <f t="shared" si="2"/>
        <v>0</v>
      </c>
    </row>
    <row r="80" spans="1:10" x14ac:dyDescent="0.3">
      <c r="A80" s="42">
        <v>45963</v>
      </c>
      <c r="B80" s="1" t="s">
        <v>128</v>
      </c>
      <c r="C80" s="1" t="s">
        <v>106</v>
      </c>
      <c r="D80" s="1" t="s">
        <v>99</v>
      </c>
      <c r="E80" t="str">
        <f>+VLOOKUP(tbl_registro[[#This Row],[Patente]],Pivot_Equipos!$A$1:$E$39,3,FALSE)</f>
        <v>CAMIONETA</v>
      </c>
      <c r="F80" s="2" t="str">
        <f>+VLOOKUP(tbl_registro[[#This Row],[Tipo Equipo]],Pivot_Equipos!$C$1:$E$39,2,FALSE)</f>
        <v>Camioneta</v>
      </c>
      <c r="H80">
        <v>4646</v>
      </c>
      <c r="I80">
        <v>4692</v>
      </c>
      <c r="J80" s="2">
        <f t="shared" si="2"/>
        <v>46</v>
      </c>
    </row>
    <row r="81" spans="1:10" x14ac:dyDescent="0.3">
      <c r="A81" s="42">
        <v>45960</v>
      </c>
      <c r="B81" s="7" t="s">
        <v>37</v>
      </c>
      <c r="C81" s="1" t="s">
        <v>15</v>
      </c>
      <c r="D81" s="1">
        <v>465</v>
      </c>
      <c r="E81" t="str">
        <f>+VLOOKUP(tbl_registro[[#This Row],[Patente]],Pivot_Equipos!$A$1:$E$39,3,FALSE)</f>
        <v>GRUA HORQUILLA 16 TON</v>
      </c>
      <c r="F81" s="2" t="str">
        <f>+VLOOKUP(tbl_registro[[#This Row],[Tipo Equipo]],Pivot_Equipos!$C$1:$E$39,2,FALSE)</f>
        <v>Grua</v>
      </c>
      <c r="H81">
        <v>293.10000000000002</v>
      </c>
      <c r="I81">
        <v>299.10000000000002</v>
      </c>
      <c r="J81" s="2">
        <f t="shared" si="2"/>
        <v>6</v>
      </c>
    </row>
    <row r="82" spans="1:10" x14ac:dyDescent="0.3">
      <c r="A82" s="42">
        <v>45960</v>
      </c>
      <c r="B82" s="7" t="s">
        <v>37</v>
      </c>
      <c r="C82" s="1" t="s">
        <v>16</v>
      </c>
      <c r="D82" s="1">
        <v>466</v>
      </c>
      <c r="E82" t="str">
        <f>+VLOOKUP(tbl_registro[[#This Row],[Patente]],Pivot_Equipos!$A$1:$E$39,3,FALSE)</f>
        <v>GRUA HORQUILLA 16 TON</v>
      </c>
      <c r="F82" s="2" t="str">
        <f>+VLOOKUP(tbl_registro[[#This Row],[Tipo Equipo]],Pivot_Equipos!$C$1:$E$39,2,FALSE)</f>
        <v>Grua</v>
      </c>
      <c r="H82">
        <v>275</v>
      </c>
      <c r="I82">
        <v>278.8</v>
      </c>
      <c r="J82" s="2">
        <f t="shared" si="2"/>
        <v>3.8000000000000114</v>
      </c>
    </row>
    <row r="83" spans="1:10" x14ac:dyDescent="0.3">
      <c r="A83" s="42">
        <v>45960</v>
      </c>
      <c r="B83" s="7" t="s">
        <v>37</v>
      </c>
      <c r="C83" s="1" t="s">
        <v>17</v>
      </c>
      <c r="D83" s="1">
        <v>461</v>
      </c>
      <c r="E83" t="str">
        <f>+VLOOKUP(tbl_registro[[#This Row],[Patente]],Pivot_Equipos!$A$1:$E$39,3,FALSE)</f>
        <v>GRUA HORQUILLA 7 TON</v>
      </c>
      <c r="F83" s="2" t="str">
        <f>+VLOOKUP(tbl_registro[[#This Row],[Tipo Equipo]],Pivot_Equipos!$C$1:$E$39,2,FALSE)</f>
        <v>Grua</v>
      </c>
      <c r="H83">
        <v>64.2</v>
      </c>
      <c r="I83">
        <v>64.900000000000006</v>
      </c>
      <c r="J83" s="2">
        <f t="shared" si="2"/>
        <v>0.70000000000000284</v>
      </c>
    </row>
    <row r="84" spans="1:10" x14ac:dyDescent="0.3">
      <c r="A84" s="42">
        <v>45960</v>
      </c>
      <c r="B84" s="7" t="s">
        <v>37</v>
      </c>
      <c r="C84" s="1" t="s">
        <v>18</v>
      </c>
      <c r="D84" s="1">
        <v>462</v>
      </c>
      <c r="E84" t="str">
        <f>+VLOOKUP(tbl_registro[[#This Row],[Patente]],Pivot_Equipos!$A$1:$E$39,3,FALSE)</f>
        <v>GRUA HORQUILLA 7 TON</v>
      </c>
      <c r="F84" s="2" t="str">
        <f>+VLOOKUP(tbl_registro[[#This Row],[Tipo Equipo]],Pivot_Equipos!$C$1:$E$39,2,FALSE)</f>
        <v>Grua</v>
      </c>
      <c r="H84">
        <v>200.5</v>
      </c>
      <c r="I84">
        <v>200.6</v>
      </c>
      <c r="J84" s="2">
        <f t="shared" si="2"/>
        <v>9.9999999999994316E-2</v>
      </c>
    </row>
    <row r="85" spans="1:10" x14ac:dyDescent="0.3">
      <c r="A85" s="42">
        <v>45960</v>
      </c>
      <c r="B85" s="7" t="s">
        <v>37</v>
      </c>
      <c r="C85" s="1" t="s">
        <v>19</v>
      </c>
      <c r="D85" s="1">
        <v>463</v>
      </c>
      <c r="E85" t="str">
        <f>+VLOOKUP(tbl_registro[[#This Row],[Patente]],Pivot_Equipos!$A$1:$E$39,3,FALSE)</f>
        <v>GRUA HORQUILLA 7 TON</v>
      </c>
      <c r="F85" s="2" t="str">
        <f>+VLOOKUP(tbl_registro[[#This Row],[Tipo Equipo]],Pivot_Equipos!$C$1:$E$39,2,FALSE)</f>
        <v>Grua</v>
      </c>
      <c r="H85">
        <v>162.80000000000001</v>
      </c>
      <c r="I85">
        <v>170</v>
      </c>
      <c r="J85" s="2">
        <f t="shared" si="2"/>
        <v>7.1999999999999886</v>
      </c>
    </row>
    <row r="86" spans="1:10" x14ac:dyDescent="0.3">
      <c r="A86" s="42">
        <v>45960</v>
      </c>
      <c r="B86" s="7" t="s">
        <v>37</v>
      </c>
      <c r="C86" s="1" t="s">
        <v>20</v>
      </c>
      <c r="D86" s="1">
        <v>464</v>
      </c>
      <c r="E86" t="str">
        <f>+VLOOKUP(tbl_registro[[#This Row],[Patente]],Pivot_Equipos!$A$1:$E$39,3,FALSE)</f>
        <v>GRUA HORQUILLA 7 TON</v>
      </c>
      <c r="F86" s="2" t="str">
        <f>+VLOOKUP(tbl_registro[[#This Row],[Tipo Equipo]],Pivot_Equipos!$C$1:$E$39,2,FALSE)</f>
        <v>Grua</v>
      </c>
      <c r="H86">
        <v>233.9</v>
      </c>
      <c r="I86">
        <v>234.1</v>
      </c>
      <c r="J86" s="2">
        <f t="shared" si="2"/>
        <v>0.19999999999998863</v>
      </c>
    </row>
    <row r="87" spans="1:10" x14ac:dyDescent="0.3">
      <c r="A87" s="42">
        <v>45960</v>
      </c>
      <c r="B87" s="7" t="s">
        <v>37</v>
      </c>
      <c r="C87" s="1" t="s">
        <v>21</v>
      </c>
      <c r="D87" s="1">
        <v>459</v>
      </c>
      <c r="E87" t="str">
        <f>+VLOOKUP(tbl_registro[[#This Row],[Patente]],Pivot_Equipos!$A$1:$E$39,3,FALSE)</f>
        <v>GRUA HORQUILLA 3 TON</v>
      </c>
      <c r="F87" s="2" t="str">
        <f>+VLOOKUP(tbl_registro[[#This Row],[Tipo Equipo]],Pivot_Equipos!$C$1:$E$39,2,FALSE)</f>
        <v>Grua</v>
      </c>
      <c r="H87">
        <v>119</v>
      </c>
      <c r="I87">
        <v>120</v>
      </c>
      <c r="J87" s="2">
        <f t="shared" si="2"/>
        <v>1</v>
      </c>
    </row>
    <row r="88" spans="1:10" x14ac:dyDescent="0.3">
      <c r="A88" s="42">
        <v>45960</v>
      </c>
      <c r="B88" s="7" t="s">
        <v>37</v>
      </c>
      <c r="C88" s="1" t="s">
        <v>22</v>
      </c>
      <c r="D88" s="1">
        <v>460</v>
      </c>
      <c r="E88" t="str">
        <f>+VLOOKUP(tbl_registro[[#This Row],[Patente]],Pivot_Equipos!$A$1:$E$39,3,FALSE)</f>
        <v>GRUA HORQUILLA 3 TON</v>
      </c>
      <c r="F88" s="2" t="str">
        <f>+VLOOKUP(tbl_registro[[#This Row],[Tipo Equipo]],Pivot_Equipos!$C$1:$E$39,2,FALSE)</f>
        <v>Grua</v>
      </c>
      <c r="H88">
        <v>152.4</v>
      </c>
      <c r="I88">
        <v>153.19999999999999</v>
      </c>
      <c r="J88" s="2">
        <f t="shared" si="2"/>
        <v>0.79999999999998295</v>
      </c>
    </row>
    <row r="89" spans="1:10" x14ac:dyDescent="0.3">
      <c r="A89" s="42">
        <v>45960</v>
      </c>
      <c r="B89" s="7" t="s">
        <v>37</v>
      </c>
      <c r="C89" s="1" t="s">
        <v>23</v>
      </c>
      <c r="D89" s="1">
        <v>475</v>
      </c>
      <c r="E89" t="str">
        <f>+VLOOKUP(tbl_registro[[#This Row],[Patente]],Pivot_Equipos!$A$1:$E$39,3,FALSE)</f>
        <v>GRUA HORQUILLA 3.5 TON ELECTRICA</v>
      </c>
      <c r="F89" s="2" t="str">
        <f>+VLOOKUP(tbl_registro[[#This Row],[Tipo Equipo]],Pivot_Equipos!$C$1:$E$39,2,FALSE)</f>
        <v>Grua</v>
      </c>
      <c r="H89">
        <v>50</v>
      </c>
      <c r="I89">
        <v>53</v>
      </c>
      <c r="J89" s="2">
        <f t="shared" si="2"/>
        <v>3</v>
      </c>
    </row>
    <row r="90" spans="1:10" x14ac:dyDescent="0.3">
      <c r="A90" s="42">
        <v>45960</v>
      </c>
      <c r="B90" s="7" t="s">
        <v>37</v>
      </c>
      <c r="C90" s="1" t="s">
        <v>24</v>
      </c>
      <c r="D90" s="1">
        <v>467</v>
      </c>
      <c r="E90" t="str">
        <f>+VLOOKUP(tbl_registro[[#This Row],[Patente]],Pivot_Equipos!$A$1:$E$39,3,FALSE)</f>
        <v>GRUA HORQUILLA 2.5 TON ELECTRICA</v>
      </c>
      <c r="F90" s="2" t="str">
        <f>+VLOOKUP(tbl_registro[[#This Row],[Tipo Equipo]],Pivot_Equipos!$C$1:$E$39,2,FALSE)</f>
        <v>Grua</v>
      </c>
      <c r="H90">
        <v>197</v>
      </c>
      <c r="I90">
        <v>198</v>
      </c>
      <c r="J90" s="2">
        <f t="shared" si="2"/>
        <v>1</v>
      </c>
    </row>
    <row r="91" spans="1:10" x14ac:dyDescent="0.3">
      <c r="A91" s="42">
        <v>45961</v>
      </c>
      <c r="B91" s="7" t="s">
        <v>37</v>
      </c>
      <c r="C91" s="1" t="s">
        <v>15</v>
      </c>
      <c r="D91" s="2">
        <v>465</v>
      </c>
      <c r="E91" t="str">
        <f>+VLOOKUP(tbl_registro[[#This Row],[Patente]],Pivot_Equipos!$A$1:$E$39,3,FALSE)</f>
        <v>GRUA HORQUILLA 16 TON</v>
      </c>
      <c r="F91" s="2" t="str">
        <f>+VLOOKUP(tbl_registro[[#This Row],[Tipo Equipo]],Pivot_Equipos!$C$1:$E$39,2,FALSE)</f>
        <v>Grua</v>
      </c>
      <c r="H91">
        <v>299.10000000000002</v>
      </c>
      <c r="I91">
        <v>299.10000000000002</v>
      </c>
      <c r="J91" s="2">
        <f t="shared" si="2"/>
        <v>0</v>
      </c>
    </row>
    <row r="92" spans="1:10" x14ac:dyDescent="0.3">
      <c r="A92" s="42">
        <v>45961</v>
      </c>
      <c r="B92" s="7" t="s">
        <v>37</v>
      </c>
      <c r="C92" s="1" t="s">
        <v>16</v>
      </c>
      <c r="D92" s="2">
        <v>466</v>
      </c>
      <c r="E92" t="str">
        <f>+VLOOKUP(tbl_registro[[#This Row],[Patente]],Pivot_Equipos!$A$1:$E$39,3,FALSE)</f>
        <v>GRUA HORQUILLA 16 TON</v>
      </c>
      <c r="F92" s="2" t="str">
        <f>+VLOOKUP(tbl_registro[[#This Row],[Tipo Equipo]],Pivot_Equipos!$C$1:$E$39,2,FALSE)</f>
        <v>Grua</v>
      </c>
      <c r="H92">
        <v>278.8</v>
      </c>
      <c r="I92">
        <v>278.8</v>
      </c>
      <c r="J92" s="2">
        <f t="shared" si="2"/>
        <v>0</v>
      </c>
    </row>
    <row r="93" spans="1:10" x14ac:dyDescent="0.3">
      <c r="A93" s="42">
        <v>45961</v>
      </c>
      <c r="B93" s="7" t="s">
        <v>37</v>
      </c>
      <c r="C93" s="1" t="s">
        <v>17</v>
      </c>
      <c r="D93" s="2">
        <v>461</v>
      </c>
      <c r="E93" t="str">
        <f>+VLOOKUP(tbl_registro[[#This Row],[Patente]],Pivot_Equipos!$A$1:$E$39,3,FALSE)</f>
        <v>GRUA HORQUILLA 7 TON</v>
      </c>
      <c r="F93" s="2" t="str">
        <f>+VLOOKUP(tbl_registro[[#This Row],[Tipo Equipo]],Pivot_Equipos!$C$1:$E$39,2,FALSE)</f>
        <v>Grua</v>
      </c>
      <c r="H93">
        <v>64.900000000000006</v>
      </c>
      <c r="I93">
        <v>64.900000000000006</v>
      </c>
      <c r="J93" s="2">
        <f t="shared" si="2"/>
        <v>0</v>
      </c>
    </row>
    <row r="94" spans="1:10" x14ac:dyDescent="0.3">
      <c r="A94" s="42">
        <v>45961</v>
      </c>
      <c r="B94" s="7" t="s">
        <v>37</v>
      </c>
      <c r="C94" s="1" t="s">
        <v>18</v>
      </c>
      <c r="D94" s="2">
        <v>462</v>
      </c>
      <c r="E94" t="str">
        <f>+VLOOKUP(tbl_registro[[#This Row],[Patente]],Pivot_Equipos!$A$1:$E$39,3,FALSE)</f>
        <v>GRUA HORQUILLA 7 TON</v>
      </c>
      <c r="F94" s="2" t="str">
        <f>+VLOOKUP(tbl_registro[[#This Row],[Tipo Equipo]],Pivot_Equipos!$C$1:$E$39,2,FALSE)</f>
        <v>Grua</v>
      </c>
      <c r="H94">
        <v>200.6</v>
      </c>
      <c r="I94">
        <v>203.1</v>
      </c>
      <c r="J94" s="2">
        <f t="shared" si="2"/>
        <v>2.5</v>
      </c>
    </row>
    <row r="95" spans="1:10" x14ac:dyDescent="0.3">
      <c r="A95" s="42">
        <v>45961</v>
      </c>
      <c r="B95" s="7" t="s">
        <v>37</v>
      </c>
      <c r="C95" s="1" t="s">
        <v>19</v>
      </c>
      <c r="D95" s="2">
        <v>463</v>
      </c>
      <c r="E95" t="str">
        <f>+VLOOKUP(tbl_registro[[#This Row],[Patente]],Pivot_Equipos!$A$1:$E$39,3,FALSE)</f>
        <v>GRUA HORQUILLA 7 TON</v>
      </c>
      <c r="F95" s="2" t="str">
        <f>+VLOOKUP(tbl_registro[[#This Row],[Tipo Equipo]],Pivot_Equipos!$C$1:$E$39,2,FALSE)</f>
        <v>Grua</v>
      </c>
      <c r="H95">
        <v>170</v>
      </c>
      <c r="I95">
        <v>170</v>
      </c>
      <c r="J95" s="2">
        <f t="shared" si="2"/>
        <v>0</v>
      </c>
    </row>
    <row r="96" spans="1:10" x14ac:dyDescent="0.3">
      <c r="A96" s="42">
        <v>45961</v>
      </c>
      <c r="B96" s="7" t="s">
        <v>37</v>
      </c>
      <c r="C96" s="1" t="s">
        <v>20</v>
      </c>
      <c r="D96" s="2">
        <v>464</v>
      </c>
      <c r="E96" t="str">
        <f>+VLOOKUP(tbl_registro[[#This Row],[Patente]],Pivot_Equipos!$A$1:$E$39,3,FALSE)</f>
        <v>GRUA HORQUILLA 7 TON</v>
      </c>
      <c r="F96" s="2" t="str">
        <f>+VLOOKUP(tbl_registro[[#This Row],[Tipo Equipo]],Pivot_Equipos!$C$1:$E$39,2,FALSE)</f>
        <v>Grua</v>
      </c>
      <c r="H96">
        <v>234.1</v>
      </c>
      <c r="I96">
        <v>236.6</v>
      </c>
      <c r="J96" s="2">
        <f t="shared" si="2"/>
        <v>2.5</v>
      </c>
    </row>
    <row r="97" spans="1:10" x14ac:dyDescent="0.3">
      <c r="A97" s="42">
        <v>45961</v>
      </c>
      <c r="B97" s="7" t="s">
        <v>37</v>
      </c>
      <c r="C97" s="1" t="s">
        <v>21</v>
      </c>
      <c r="D97" s="2">
        <v>459</v>
      </c>
      <c r="E97" t="str">
        <f>+VLOOKUP(tbl_registro[[#This Row],[Patente]],Pivot_Equipos!$A$1:$E$39,3,FALSE)</f>
        <v>GRUA HORQUILLA 3 TON</v>
      </c>
      <c r="F97" s="2" t="str">
        <f>+VLOOKUP(tbl_registro[[#This Row],[Tipo Equipo]],Pivot_Equipos!$C$1:$E$39,2,FALSE)</f>
        <v>Grua</v>
      </c>
      <c r="H97">
        <v>120</v>
      </c>
      <c r="I97">
        <v>123.6</v>
      </c>
      <c r="J97" s="2">
        <f t="shared" si="2"/>
        <v>3.5999999999999943</v>
      </c>
    </row>
    <row r="98" spans="1:10" x14ac:dyDescent="0.3">
      <c r="A98" s="42">
        <v>45961</v>
      </c>
      <c r="B98" s="7" t="s">
        <v>37</v>
      </c>
      <c r="C98" s="1" t="s">
        <v>22</v>
      </c>
      <c r="D98" s="2">
        <v>460</v>
      </c>
      <c r="E98" t="str">
        <f>+VLOOKUP(tbl_registro[[#This Row],[Patente]],Pivot_Equipos!$A$1:$E$39,3,FALSE)</f>
        <v>GRUA HORQUILLA 3 TON</v>
      </c>
      <c r="F98" s="2" t="str">
        <f>+VLOOKUP(tbl_registro[[#This Row],[Tipo Equipo]],Pivot_Equipos!$C$1:$E$39,2,FALSE)</f>
        <v>Grua</v>
      </c>
      <c r="H98">
        <v>153.19999999999999</v>
      </c>
      <c r="I98">
        <v>153.9</v>
      </c>
      <c r="J98" s="2">
        <f t="shared" si="2"/>
        <v>0.70000000000001705</v>
      </c>
    </row>
    <row r="99" spans="1:10" x14ac:dyDescent="0.3">
      <c r="A99" s="42">
        <v>45961</v>
      </c>
      <c r="B99" s="7" t="s">
        <v>37</v>
      </c>
      <c r="C99" s="1" t="s">
        <v>23</v>
      </c>
      <c r="D99" s="2">
        <v>475</v>
      </c>
      <c r="E99" t="str">
        <f>+VLOOKUP(tbl_registro[[#This Row],[Patente]],Pivot_Equipos!$A$1:$E$39,3,FALSE)</f>
        <v>GRUA HORQUILLA 3.5 TON ELECTRICA</v>
      </c>
      <c r="F99" s="2" t="str">
        <f>+VLOOKUP(tbl_registro[[#This Row],[Tipo Equipo]],Pivot_Equipos!$C$1:$E$39,2,FALSE)</f>
        <v>Grua</v>
      </c>
      <c r="H99">
        <v>53</v>
      </c>
      <c r="I99">
        <v>53</v>
      </c>
      <c r="J99" s="2">
        <f t="shared" si="2"/>
        <v>0</v>
      </c>
    </row>
    <row r="100" spans="1:10" x14ac:dyDescent="0.3">
      <c r="A100" s="42">
        <v>45961</v>
      </c>
      <c r="B100" s="7" t="s">
        <v>37</v>
      </c>
      <c r="C100" s="1" t="s">
        <v>24</v>
      </c>
      <c r="D100" s="2">
        <v>467</v>
      </c>
      <c r="E100" t="str">
        <f>+VLOOKUP(tbl_registro[[#This Row],[Patente]],Pivot_Equipos!$A$1:$E$39,3,FALSE)</f>
        <v>GRUA HORQUILLA 2.5 TON ELECTRICA</v>
      </c>
      <c r="F100" s="2" t="str">
        <f>+VLOOKUP(tbl_registro[[#This Row],[Tipo Equipo]],Pivot_Equipos!$C$1:$E$39,2,FALSE)</f>
        <v>Grua</v>
      </c>
      <c r="H100">
        <v>198</v>
      </c>
      <c r="I100">
        <v>198</v>
      </c>
      <c r="J100" s="2">
        <f t="shared" si="2"/>
        <v>0</v>
      </c>
    </row>
    <row r="101" spans="1:10" x14ac:dyDescent="0.3">
      <c r="A101" s="42">
        <v>45962</v>
      </c>
      <c r="B101" s="1" t="s">
        <v>128</v>
      </c>
      <c r="C101" s="1" t="s">
        <v>15</v>
      </c>
      <c r="D101" s="1">
        <v>465</v>
      </c>
      <c r="E101" t="str">
        <f>+VLOOKUP(tbl_registro[[#This Row],[Patente]],Pivot_Equipos!$A$1:$E$39,3,FALSE)</f>
        <v>GRUA HORQUILLA 16 TON</v>
      </c>
      <c r="F101" s="2" t="str">
        <f>+VLOOKUP(tbl_registro[[#This Row],[Tipo Equipo]],Pivot_Equipos!$C$1:$E$39,2,FALSE)</f>
        <v>Grua</v>
      </c>
      <c r="H101">
        <v>299.10000000000002</v>
      </c>
      <c r="I101">
        <v>299.10000000000002</v>
      </c>
      <c r="J101" s="2">
        <f t="shared" si="2"/>
        <v>0</v>
      </c>
    </row>
    <row r="102" spans="1:10" x14ac:dyDescent="0.3">
      <c r="A102" s="42">
        <v>45962</v>
      </c>
      <c r="B102" s="1" t="s">
        <v>128</v>
      </c>
      <c r="C102" s="1" t="s">
        <v>16</v>
      </c>
      <c r="D102" s="1">
        <v>466</v>
      </c>
      <c r="E102" t="str">
        <f>+VLOOKUP(tbl_registro[[#This Row],[Patente]],Pivot_Equipos!$A$1:$E$39,3,FALSE)</f>
        <v>GRUA HORQUILLA 16 TON</v>
      </c>
      <c r="F102" s="2" t="str">
        <f>+VLOOKUP(tbl_registro[[#This Row],[Tipo Equipo]],Pivot_Equipos!$C$1:$E$39,2,FALSE)</f>
        <v>Grua</v>
      </c>
      <c r="H102">
        <v>278.8</v>
      </c>
      <c r="I102">
        <v>278.8</v>
      </c>
      <c r="J102" s="2">
        <f t="shared" si="2"/>
        <v>0</v>
      </c>
    </row>
    <row r="103" spans="1:10" x14ac:dyDescent="0.3">
      <c r="A103" s="42">
        <v>45962</v>
      </c>
      <c r="B103" s="1" t="s">
        <v>128</v>
      </c>
      <c r="C103" s="1" t="s">
        <v>17</v>
      </c>
      <c r="D103" s="1">
        <v>461</v>
      </c>
      <c r="E103" t="str">
        <f>+VLOOKUP(tbl_registro[[#This Row],[Patente]],Pivot_Equipos!$A$1:$E$39,3,FALSE)</f>
        <v>GRUA HORQUILLA 7 TON</v>
      </c>
      <c r="F103" s="2" t="str">
        <f>+VLOOKUP(tbl_registro[[#This Row],[Tipo Equipo]],Pivot_Equipos!$C$1:$E$39,2,FALSE)</f>
        <v>Grua</v>
      </c>
      <c r="H103">
        <v>64.900000000000006</v>
      </c>
      <c r="I103">
        <v>64.900000000000006</v>
      </c>
      <c r="J103" s="2">
        <f t="shared" si="2"/>
        <v>0</v>
      </c>
    </row>
    <row r="104" spans="1:10" x14ac:dyDescent="0.3">
      <c r="A104" s="42">
        <v>45962</v>
      </c>
      <c r="B104" s="1" t="s">
        <v>128</v>
      </c>
      <c r="C104" s="1" t="s">
        <v>18</v>
      </c>
      <c r="D104" s="1">
        <v>462</v>
      </c>
      <c r="E104" t="str">
        <f>+VLOOKUP(tbl_registro[[#This Row],[Patente]],Pivot_Equipos!$A$1:$E$39,3,FALSE)</f>
        <v>GRUA HORQUILLA 7 TON</v>
      </c>
      <c r="F104" s="2" t="str">
        <f>+VLOOKUP(tbl_registro[[#This Row],[Tipo Equipo]],Pivot_Equipos!$C$1:$E$39,2,FALSE)</f>
        <v>Grua</v>
      </c>
      <c r="H104">
        <v>203.1</v>
      </c>
      <c r="I104">
        <v>203.5</v>
      </c>
      <c r="J104" s="2">
        <f t="shared" si="2"/>
        <v>0.40000000000000568</v>
      </c>
    </row>
    <row r="105" spans="1:10" x14ac:dyDescent="0.3">
      <c r="A105" s="42">
        <v>45962</v>
      </c>
      <c r="B105" s="1" t="s">
        <v>128</v>
      </c>
      <c r="C105" s="1" t="s">
        <v>19</v>
      </c>
      <c r="D105" s="1">
        <v>463</v>
      </c>
      <c r="E105" t="str">
        <f>+VLOOKUP(tbl_registro[[#This Row],[Patente]],Pivot_Equipos!$A$1:$E$39,3,FALSE)</f>
        <v>GRUA HORQUILLA 7 TON</v>
      </c>
      <c r="F105" s="2" t="str">
        <f>+VLOOKUP(tbl_registro[[#This Row],[Tipo Equipo]],Pivot_Equipos!$C$1:$E$39,2,FALSE)</f>
        <v>Grua</v>
      </c>
      <c r="H105">
        <v>170</v>
      </c>
      <c r="I105">
        <v>170</v>
      </c>
      <c r="J105" s="2">
        <f t="shared" si="2"/>
        <v>0</v>
      </c>
    </row>
    <row r="106" spans="1:10" x14ac:dyDescent="0.3">
      <c r="A106" s="42">
        <v>45962</v>
      </c>
      <c r="B106" s="1" t="s">
        <v>128</v>
      </c>
      <c r="C106" s="1" t="s">
        <v>20</v>
      </c>
      <c r="D106" s="1">
        <v>464</v>
      </c>
      <c r="E106" t="str">
        <f>+VLOOKUP(tbl_registro[[#This Row],[Patente]],Pivot_Equipos!$A$1:$E$39,3,FALSE)</f>
        <v>GRUA HORQUILLA 7 TON</v>
      </c>
      <c r="F106" s="2" t="str">
        <f>+VLOOKUP(tbl_registro[[#This Row],[Tipo Equipo]],Pivot_Equipos!$C$1:$E$39,2,FALSE)</f>
        <v>Grua</v>
      </c>
      <c r="H106">
        <v>236.6</v>
      </c>
      <c r="I106">
        <v>238.5</v>
      </c>
      <c r="J106" s="2">
        <f t="shared" si="2"/>
        <v>1.9000000000000057</v>
      </c>
    </row>
    <row r="107" spans="1:10" x14ac:dyDescent="0.3">
      <c r="A107" s="42">
        <v>45962</v>
      </c>
      <c r="B107" s="1" t="s">
        <v>128</v>
      </c>
      <c r="C107" s="1" t="s">
        <v>21</v>
      </c>
      <c r="D107" s="1">
        <v>459</v>
      </c>
      <c r="E107" t="str">
        <f>+VLOOKUP(tbl_registro[[#This Row],[Patente]],Pivot_Equipos!$A$1:$E$39,3,FALSE)</f>
        <v>GRUA HORQUILLA 3 TON</v>
      </c>
      <c r="F107" s="2" t="str">
        <f>+VLOOKUP(tbl_registro[[#This Row],[Tipo Equipo]],Pivot_Equipos!$C$1:$E$39,2,FALSE)</f>
        <v>Grua</v>
      </c>
      <c r="H107">
        <v>123.6</v>
      </c>
      <c r="I107">
        <v>123.8</v>
      </c>
      <c r="J107" s="2">
        <f t="shared" si="2"/>
        <v>0.20000000000000284</v>
      </c>
    </row>
    <row r="108" spans="1:10" x14ac:dyDescent="0.3">
      <c r="A108" s="42">
        <v>45962</v>
      </c>
      <c r="B108" s="1" t="s">
        <v>128</v>
      </c>
      <c r="C108" s="1" t="s">
        <v>22</v>
      </c>
      <c r="D108" s="1">
        <v>460</v>
      </c>
      <c r="E108" t="str">
        <f>+VLOOKUP(tbl_registro[[#This Row],[Patente]],Pivot_Equipos!$A$1:$E$39,3,FALSE)</f>
        <v>GRUA HORQUILLA 3 TON</v>
      </c>
      <c r="F108" s="2" t="str">
        <f>+VLOOKUP(tbl_registro[[#This Row],[Tipo Equipo]],Pivot_Equipos!$C$1:$E$39,2,FALSE)</f>
        <v>Grua</v>
      </c>
      <c r="H108">
        <v>153.9</v>
      </c>
      <c r="I108">
        <v>153.9</v>
      </c>
      <c r="J108" s="2">
        <f t="shared" si="2"/>
        <v>0</v>
      </c>
    </row>
    <row r="109" spans="1:10" x14ac:dyDescent="0.3">
      <c r="A109" s="42">
        <v>45962</v>
      </c>
      <c r="B109" s="1" t="s">
        <v>128</v>
      </c>
      <c r="C109" s="1" t="s">
        <v>23</v>
      </c>
      <c r="D109" s="1">
        <v>475</v>
      </c>
      <c r="E109" t="str">
        <f>+VLOOKUP(tbl_registro[[#This Row],[Patente]],Pivot_Equipos!$A$1:$E$39,3,FALSE)</f>
        <v>GRUA HORQUILLA 3.5 TON ELECTRICA</v>
      </c>
      <c r="F109" s="2" t="str">
        <f>+VLOOKUP(tbl_registro[[#This Row],[Tipo Equipo]],Pivot_Equipos!$C$1:$E$39,2,FALSE)</f>
        <v>Grua</v>
      </c>
      <c r="H109">
        <v>53</v>
      </c>
      <c r="I109">
        <v>54</v>
      </c>
      <c r="J109" s="2">
        <f t="shared" si="2"/>
        <v>1</v>
      </c>
    </row>
    <row r="110" spans="1:10" x14ac:dyDescent="0.3">
      <c r="A110" s="42">
        <v>45962</v>
      </c>
      <c r="B110" s="1" t="s">
        <v>128</v>
      </c>
      <c r="C110" s="1" t="s">
        <v>24</v>
      </c>
      <c r="D110" s="1">
        <v>467</v>
      </c>
      <c r="E110" t="str">
        <f>+VLOOKUP(tbl_registro[[#This Row],[Patente]],Pivot_Equipos!$A$1:$E$39,3,FALSE)</f>
        <v>GRUA HORQUILLA 2.5 TON ELECTRICA</v>
      </c>
      <c r="F110" s="2" t="str">
        <f>+VLOOKUP(tbl_registro[[#This Row],[Tipo Equipo]],Pivot_Equipos!$C$1:$E$39,2,FALSE)</f>
        <v>Grua</v>
      </c>
      <c r="H110">
        <v>198</v>
      </c>
      <c r="I110">
        <v>198</v>
      </c>
      <c r="J110" s="2">
        <f t="shared" si="2"/>
        <v>0</v>
      </c>
    </row>
    <row r="111" spans="1:10" x14ac:dyDescent="0.3">
      <c r="A111" s="42">
        <v>45963</v>
      </c>
      <c r="B111" s="1" t="s">
        <v>128</v>
      </c>
      <c r="C111" s="1" t="s">
        <v>15</v>
      </c>
      <c r="D111" s="1">
        <v>465</v>
      </c>
      <c r="E111" t="str">
        <f>+VLOOKUP(tbl_registro[[#This Row],[Patente]],Pivot_Equipos!$A$1:$E$39,3,FALSE)</f>
        <v>GRUA HORQUILLA 16 TON</v>
      </c>
      <c r="F111" s="2" t="str">
        <f>+VLOOKUP(tbl_registro[[#This Row],[Tipo Equipo]],Pivot_Equipos!$C$1:$E$39,2,FALSE)</f>
        <v>Grua</v>
      </c>
      <c r="H111">
        <v>299.10000000000002</v>
      </c>
      <c r="I111">
        <v>299.10000000000002</v>
      </c>
      <c r="J111" s="2">
        <f t="shared" si="2"/>
        <v>0</v>
      </c>
    </row>
    <row r="112" spans="1:10" x14ac:dyDescent="0.3">
      <c r="A112" s="42">
        <v>45963</v>
      </c>
      <c r="B112" s="1" t="s">
        <v>128</v>
      </c>
      <c r="C112" s="1" t="s">
        <v>16</v>
      </c>
      <c r="D112" s="1">
        <v>466</v>
      </c>
      <c r="E112" t="str">
        <f>+VLOOKUP(tbl_registro[[#This Row],[Patente]],Pivot_Equipos!$A$1:$E$39,3,FALSE)</f>
        <v>GRUA HORQUILLA 16 TON</v>
      </c>
      <c r="F112" s="2" t="str">
        <f>+VLOOKUP(tbl_registro[[#This Row],[Tipo Equipo]],Pivot_Equipos!$C$1:$E$39,2,FALSE)</f>
        <v>Grua</v>
      </c>
      <c r="H112">
        <v>278.8</v>
      </c>
      <c r="I112">
        <v>278.8</v>
      </c>
      <c r="J112" s="2">
        <f t="shared" si="2"/>
        <v>0</v>
      </c>
    </row>
    <row r="113" spans="1:10" x14ac:dyDescent="0.3">
      <c r="A113" s="42">
        <v>45963</v>
      </c>
      <c r="B113" s="1" t="s">
        <v>128</v>
      </c>
      <c r="C113" s="1" t="s">
        <v>17</v>
      </c>
      <c r="D113" s="1">
        <v>461</v>
      </c>
      <c r="E113" t="str">
        <f>+VLOOKUP(tbl_registro[[#This Row],[Patente]],Pivot_Equipos!$A$1:$E$39,3,FALSE)</f>
        <v>GRUA HORQUILLA 7 TON</v>
      </c>
      <c r="F113" s="2" t="str">
        <f>+VLOOKUP(tbl_registro[[#This Row],[Tipo Equipo]],Pivot_Equipos!$C$1:$E$39,2,FALSE)</f>
        <v>Grua</v>
      </c>
      <c r="H113">
        <v>64.900000000000006</v>
      </c>
      <c r="I113">
        <v>64.900000000000006</v>
      </c>
      <c r="J113" s="2">
        <f t="shared" si="2"/>
        <v>0</v>
      </c>
    </row>
    <row r="114" spans="1:10" x14ac:dyDescent="0.3">
      <c r="A114" s="42">
        <v>45963</v>
      </c>
      <c r="B114" s="1" t="s">
        <v>128</v>
      </c>
      <c r="C114" s="1" t="s">
        <v>18</v>
      </c>
      <c r="D114" s="1">
        <v>462</v>
      </c>
      <c r="E114" t="str">
        <f>+VLOOKUP(tbl_registro[[#This Row],[Patente]],Pivot_Equipos!$A$1:$E$39,3,FALSE)</f>
        <v>GRUA HORQUILLA 7 TON</v>
      </c>
      <c r="F114" s="2" t="str">
        <f>+VLOOKUP(tbl_registro[[#This Row],[Tipo Equipo]],Pivot_Equipos!$C$1:$E$39,2,FALSE)</f>
        <v>Grua</v>
      </c>
      <c r="H114">
        <v>203.5</v>
      </c>
      <c r="I114">
        <v>203.5</v>
      </c>
      <c r="J114" s="2">
        <f t="shared" si="2"/>
        <v>0</v>
      </c>
    </row>
    <row r="115" spans="1:10" x14ac:dyDescent="0.3">
      <c r="A115" s="42">
        <v>45963</v>
      </c>
      <c r="B115" s="1" t="s">
        <v>128</v>
      </c>
      <c r="C115" s="1" t="s">
        <v>19</v>
      </c>
      <c r="D115" s="1">
        <v>463</v>
      </c>
      <c r="E115" t="str">
        <f>+VLOOKUP(tbl_registro[[#This Row],[Patente]],Pivot_Equipos!$A$1:$E$39,3,FALSE)</f>
        <v>GRUA HORQUILLA 7 TON</v>
      </c>
      <c r="F115" s="2" t="str">
        <f>+VLOOKUP(tbl_registro[[#This Row],[Tipo Equipo]],Pivot_Equipos!$C$1:$E$39,2,FALSE)</f>
        <v>Grua</v>
      </c>
      <c r="H115">
        <v>170</v>
      </c>
      <c r="I115">
        <v>170</v>
      </c>
      <c r="J115" s="2">
        <f t="shared" si="2"/>
        <v>0</v>
      </c>
    </row>
    <row r="116" spans="1:10" x14ac:dyDescent="0.3">
      <c r="A116" s="42">
        <v>45963</v>
      </c>
      <c r="B116" s="1" t="s">
        <v>128</v>
      </c>
      <c r="C116" s="1" t="s">
        <v>20</v>
      </c>
      <c r="D116" s="1">
        <v>464</v>
      </c>
      <c r="E116" t="str">
        <f>+VLOOKUP(tbl_registro[[#This Row],[Patente]],Pivot_Equipos!$A$1:$E$39,3,FALSE)</f>
        <v>GRUA HORQUILLA 7 TON</v>
      </c>
      <c r="F116" s="2" t="str">
        <f>+VLOOKUP(tbl_registro[[#This Row],[Tipo Equipo]],Pivot_Equipos!$C$1:$E$39,2,FALSE)</f>
        <v>Grua</v>
      </c>
      <c r="H116">
        <v>238.5</v>
      </c>
      <c r="I116">
        <v>238.5</v>
      </c>
      <c r="J116" s="2">
        <f t="shared" si="2"/>
        <v>0</v>
      </c>
    </row>
    <row r="117" spans="1:10" x14ac:dyDescent="0.3">
      <c r="A117" s="42">
        <v>45963</v>
      </c>
      <c r="B117" s="1" t="s">
        <v>128</v>
      </c>
      <c r="C117" s="1" t="s">
        <v>21</v>
      </c>
      <c r="D117" s="1">
        <v>459</v>
      </c>
      <c r="E117" t="str">
        <f>+VLOOKUP(tbl_registro[[#This Row],[Patente]],Pivot_Equipos!$A$1:$E$39,3,FALSE)</f>
        <v>GRUA HORQUILLA 3 TON</v>
      </c>
      <c r="F117" s="2" t="str">
        <f>+VLOOKUP(tbl_registro[[#This Row],[Tipo Equipo]],Pivot_Equipos!$C$1:$E$39,2,FALSE)</f>
        <v>Grua</v>
      </c>
      <c r="H117">
        <v>123.8</v>
      </c>
      <c r="I117">
        <v>124</v>
      </c>
      <c r="J117" s="2">
        <f t="shared" si="2"/>
        <v>0.20000000000000284</v>
      </c>
    </row>
    <row r="118" spans="1:10" x14ac:dyDescent="0.3">
      <c r="A118" s="42">
        <v>45963</v>
      </c>
      <c r="B118" s="1" t="s">
        <v>128</v>
      </c>
      <c r="C118" s="1" t="s">
        <v>22</v>
      </c>
      <c r="D118" s="1">
        <v>460</v>
      </c>
      <c r="E118" t="str">
        <f>+VLOOKUP(tbl_registro[[#This Row],[Patente]],Pivot_Equipos!$A$1:$E$39,3,FALSE)</f>
        <v>GRUA HORQUILLA 3 TON</v>
      </c>
      <c r="F118" s="2" t="str">
        <f>+VLOOKUP(tbl_registro[[#This Row],[Tipo Equipo]],Pivot_Equipos!$C$1:$E$39,2,FALSE)</f>
        <v>Grua</v>
      </c>
      <c r="H118">
        <v>153.9</v>
      </c>
      <c r="I118">
        <v>153.9</v>
      </c>
      <c r="J118" s="2">
        <f t="shared" si="2"/>
        <v>0</v>
      </c>
    </row>
    <row r="119" spans="1:10" x14ac:dyDescent="0.3">
      <c r="A119" s="42">
        <v>45963</v>
      </c>
      <c r="B119" s="1" t="s">
        <v>128</v>
      </c>
      <c r="C119" s="1" t="s">
        <v>23</v>
      </c>
      <c r="D119" s="1">
        <v>475</v>
      </c>
      <c r="E119" t="str">
        <f>+VLOOKUP(tbl_registro[[#This Row],[Patente]],Pivot_Equipos!$A$1:$E$39,3,FALSE)</f>
        <v>GRUA HORQUILLA 3.5 TON ELECTRICA</v>
      </c>
      <c r="F119" s="2" t="str">
        <f>+VLOOKUP(tbl_registro[[#This Row],[Tipo Equipo]],Pivot_Equipos!$C$1:$E$39,2,FALSE)</f>
        <v>Grua</v>
      </c>
      <c r="H119">
        <v>54</v>
      </c>
      <c r="I119">
        <v>55</v>
      </c>
      <c r="J119" s="2">
        <f t="shared" si="2"/>
        <v>1</v>
      </c>
    </row>
    <row r="120" spans="1:10" x14ac:dyDescent="0.3">
      <c r="A120" s="42">
        <v>45963</v>
      </c>
      <c r="B120" s="1" t="s">
        <v>128</v>
      </c>
      <c r="C120" s="1" t="s">
        <v>24</v>
      </c>
      <c r="D120" s="1">
        <v>467</v>
      </c>
      <c r="E120" t="str">
        <f>+VLOOKUP(tbl_registro[[#This Row],[Patente]],Pivot_Equipos!$A$1:$E$39,3,FALSE)</f>
        <v>GRUA HORQUILLA 2.5 TON ELECTRICA</v>
      </c>
      <c r="F120" s="2" t="str">
        <f>+VLOOKUP(tbl_registro[[#This Row],[Tipo Equipo]],Pivot_Equipos!$C$1:$E$39,2,FALSE)</f>
        <v>Grua</v>
      </c>
      <c r="H120">
        <v>198</v>
      </c>
      <c r="I120">
        <v>198</v>
      </c>
      <c r="J120" s="2">
        <f t="shared" si="2"/>
        <v>0</v>
      </c>
    </row>
    <row r="121" spans="1:10" x14ac:dyDescent="0.3">
      <c r="A121" s="42">
        <v>45960</v>
      </c>
      <c r="B121" s="1" t="s">
        <v>37</v>
      </c>
      <c r="C121" s="1" t="s">
        <v>112</v>
      </c>
      <c r="D121" s="1" t="s">
        <v>111</v>
      </c>
      <c r="E121" t="str">
        <f>+VLOOKUP(tbl_registro[[#This Row],[Patente]],Pivot_Equipos!$A$1:$E$39,3,FALSE)</f>
        <v>TRACTO CAMIONES 28TN (RAMPLA)</v>
      </c>
      <c r="F121" s="2" t="str">
        <f>+VLOOKUP(tbl_registro[[#This Row],[Tipo Equipo]],Pivot_Equipos!$C$1:$E$39,2,FALSE)</f>
        <v>Tracto Camión</v>
      </c>
      <c r="H121">
        <v>5584</v>
      </c>
      <c r="I121">
        <v>5625</v>
      </c>
      <c r="J121" s="2">
        <f t="shared" si="2"/>
        <v>41</v>
      </c>
    </row>
    <row r="122" spans="1:10" x14ac:dyDescent="0.3">
      <c r="A122" s="42">
        <v>45960</v>
      </c>
      <c r="B122" s="1" t="s">
        <v>37</v>
      </c>
      <c r="C122" s="1" t="s">
        <v>114</v>
      </c>
      <c r="D122" s="1" t="s">
        <v>113</v>
      </c>
      <c r="E122" t="str">
        <f>+VLOOKUP(tbl_registro[[#This Row],[Patente]],Pivot_Equipos!$A$1:$E$39,3,FALSE)</f>
        <v>TRACTO CAMIONES 28TN (RAMPLA)</v>
      </c>
      <c r="F122" s="2" t="str">
        <f>+VLOOKUP(tbl_registro[[#This Row],[Tipo Equipo]],Pivot_Equipos!$C$1:$E$39,2,FALSE)</f>
        <v>Tracto Camión</v>
      </c>
      <c r="H122">
        <v>6805</v>
      </c>
      <c r="I122">
        <v>6840</v>
      </c>
      <c r="J122" s="2">
        <f t="shared" si="2"/>
        <v>35</v>
      </c>
    </row>
    <row r="123" spans="1:10" x14ac:dyDescent="0.3">
      <c r="A123" s="42">
        <v>45960</v>
      </c>
      <c r="B123" s="1" t="s">
        <v>37</v>
      </c>
      <c r="C123" s="1" t="s">
        <v>54</v>
      </c>
      <c r="D123" s="1" t="s">
        <v>115</v>
      </c>
      <c r="E123" t="str">
        <f>+VLOOKUP(tbl_registro[[#This Row],[Patente]],Pivot_Equipos!$A$1:$E$39,3,FALSE)</f>
        <v>TRACTO PARA CAMA BAJA 25 y 40 TON</v>
      </c>
      <c r="F123" s="2" t="str">
        <f>+VLOOKUP(tbl_registro[[#This Row],[Tipo Equipo]],Pivot_Equipos!$C$1:$E$39,2,FALSE)</f>
        <v>Tracto Camión</v>
      </c>
      <c r="H123">
        <v>9337</v>
      </c>
      <c r="I123">
        <v>9387</v>
      </c>
      <c r="J123" s="2">
        <f t="shared" si="2"/>
        <v>50</v>
      </c>
    </row>
    <row r="124" spans="1:10" x14ac:dyDescent="0.3">
      <c r="A124" s="42">
        <v>45960</v>
      </c>
      <c r="B124" s="1" t="s">
        <v>37</v>
      </c>
      <c r="C124" s="1" t="s">
        <v>117</v>
      </c>
      <c r="D124" s="1" t="s">
        <v>116</v>
      </c>
      <c r="E124" t="str">
        <f>+VLOOKUP(tbl_registro[[#This Row],[Patente]],Pivot_Equipos!$A$1:$E$39,3,FALSE)</f>
        <v>TRACTO PARA CAMA BAJA 25 y 40 TON</v>
      </c>
      <c r="F124" s="2" t="str">
        <f>+VLOOKUP(tbl_registro[[#This Row],[Tipo Equipo]],Pivot_Equipos!$C$1:$E$39,2,FALSE)</f>
        <v>Tracto Camión</v>
      </c>
      <c r="H124">
        <v>7543</v>
      </c>
      <c r="I124">
        <v>7585</v>
      </c>
      <c r="J124" s="2">
        <f t="shared" si="2"/>
        <v>42</v>
      </c>
    </row>
    <row r="125" spans="1:10" x14ac:dyDescent="0.3">
      <c r="A125" s="42">
        <v>45960</v>
      </c>
      <c r="B125" s="1" t="s">
        <v>37</v>
      </c>
      <c r="C125" s="1" t="s">
        <v>119</v>
      </c>
      <c r="D125" s="1" t="s">
        <v>118</v>
      </c>
      <c r="E125" t="str">
        <f>+VLOOKUP(tbl_registro[[#This Row],[Patente]],Pivot_Equipos!$A$1:$E$39,3,FALSE)</f>
        <v>TRACTO PARA CAMA BAJA 60 y 100 TON</v>
      </c>
      <c r="F125" s="2" t="str">
        <f>+VLOOKUP(tbl_registro[[#This Row],[Tipo Equipo]],Pivot_Equipos!$C$1:$E$39,2,FALSE)</f>
        <v>Tracto Camión</v>
      </c>
      <c r="H125">
        <v>227834</v>
      </c>
      <c r="I125">
        <v>227850</v>
      </c>
      <c r="J125" s="2">
        <f t="shared" si="2"/>
        <v>16</v>
      </c>
    </row>
    <row r="126" spans="1:10" x14ac:dyDescent="0.3">
      <c r="A126" s="42">
        <v>45960</v>
      </c>
      <c r="B126" s="1" t="s">
        <v>37</v>
      </c>
      <c r="C126" s="1" t="s">
        <v>121</v>
      </c>
      <c r="D126" s="1" t="s">
        <v>120</v>
      </c>
      <c r="E126" t="str">
        <f>+VLOOKUP(tbl_registro[[#This Row],[Patente]],Pivot_Equipos!$A$1:$E$39,3,FALSE)</f>
        <v>CAMIÓN 10 TON</v>
      </c>
      <c r="F126" s="2" t="str">
        <f>+VLOOKUP(tbl_registro[[#This Row],[Tipo Equipo]],Pivot_Equipos!$C$1:$E$39,2,FALSE)</f>
        <v>Camión Plano</v>
      </c>
      <c r="H126">
        <v>6014</v>
      </c>
      <c r="I126">
        <v>6030</v>
      </c>
      <c r="J126" s="2">
        <f t="shared" si="2"/>
        <v>16</v>
      </c>
    </row>
    <row r="127" spans="1:10" x14ac:dyDescent="0.3">
      <c r="A127" s="42">
        <v>45961</v>
      </c>
      <c r="B127" s="1" t="s">
        <v>37</v>
      </c>
      <c r="C127" s="1" t="s">
        <v>112</v>
      </c>
      <c r="D127" s="1" t="s">
        <v>111</v>
      </c>
      <c r="E127" t="str">
        <f>+VLOOKUP(tbl_registro[[#This Row],[Patente]],Pivot_Equipos!$A$1:$E$39,3,FALSE)</f>
        <v>TRACTO CAMIONES 28TN (RAMPLA)</v>
      </c>
      <c r="F127" s="2" t="str">
        <f>+VLOOKUP(tbl_registro[[#This Row],[Tipo Equipo]],Pivot_Equipos!$C$1:$E$39,2,FALSE)</f>
        <v>Tracto Camión</v>
      </c>
      <c r="H127">
        <v>5625</v>
      </c>
      <c r="I127">
        <v>5625</v>
      </c>
      <c r="J127" s="2">
        <f t="shared" si="2"/>
        <v>0</v>
      </c>
    </row>
    <row r="128" spans="1:10" x14ac:dyDescent="0.3">
      <c r="A128" s="42">
        <v>45961</v>
      </c>
      <c r="B128" s="1" t="s">
        <v>37</v>
      </c>
      <c r="C128" s="1" t="s">
        <v>114</v>
      </c>
      <c r="D128" s="1" t="s">
        <v>113</v>
      </c>
      <c r="E128" t="str">
        <f>+VLOOKUP(tbl_registro[[#This Row],[Patente]],Pivot_Equipos!$A$1:$E$39,3,FALSE)</f>
        <v>TRACTO CAMIONES 28TN (RAMPLA)</v>
      </c>
      <c r="F128" s="2" t="str">
        <f>+VLOOKUP(tbl_registro[[#This Row],[Tipo Equipo]],Pivot_Equipos!$C$1:$E$39,2,FALSE)</f>
        <v>Tracto Camión</v>
      </c>
      <c r="H128">
        <v>6840</v>
      </c>
      <c r="I128">
        <v>6840</v>
      </c>
      <c r="J128" s="2">
        <f t="shared" si="2"/>
        <v>0</v>
      </c>
    </row>
    <row r="129" spans="1:10" x14ac:dyDescent="0.3">
      <c r="A129" s="42">
        <v>45961</v>
      </c>
      <c r="B129" s="1" t="s">
        <v>37</v>
      </c>
      <c r="C129" s="1" t="s">
        <v>54</v>
      </c>
      <c r="D129" s="1" t="s">
        <v>115</v>
      </c>
      <c r="E129" t="str">
        <f>+VLOOKUP(tbl_registro[[#This Row],[Patente]],Pivot_Equipos!$A$1:$E$39,3,FALSE)</f>
        <v>TRACTO PARA CAMA BAJA 25 y 40 TON</v>
      </c>
      <c r="F129" s="2" t="str">
        <f>+VLOOKUP(tbl_registro[[#This Row],[Tipo Equipo]],Pivot_Equipos!$C$1:$E$39,2,FALSE)</f>
        <v>Tracto Camión</v>
      </c>
      <c r="H129">
        <v>9387</v>
      </c>
      <c r="I129">
        <v>9456</v>
      </c>
      <c r="J129" s="2">
        <f t="shared" si="2"/>
        <v>69</v>
      </c>
    </row>
    <row r="130" spans="1:10" x14ac:dyDescent="0.3">
      <c r="A130" s="42">
        <v>45961</v>
      </c>
      <c r="B130" s="1" t="s">
        <v>37</v>
      </c>
      <c r="C130" s="1" t="s">
        <v>117</v>
      </c>
      <c r="D130" s="1" t="s">
        <v>116</v>
      </c>
      <c r="E130" t="str">
        <f>+VLOOKUP(tbl_registro[[#This Row],[Patente]],Pivot_Equipos!$A$1:$E$39,3,FALSE)</f>
        <v>TRACTO PARA CAMA BAJA 25 y 40 TON</v>
      </c>
      <c r="F130" s="2" t="str">
        <f>+VLOOKUP(tbl_registro[[#This Row],[Tipo Equipo]],Pivot_Equipos!$C$1:$E$39,2,FALSE)</f>
        <v>Tracto Camión</v>
      </c>
      <c r="H130">
        <v>7585</v>
      </c>
      <c r="I130">
        <v>7622</v>
      </c>
      <c r="J130" s="2">
        <f t="shared" ref="J130:J193" si="3">I130-H130</f>
        <v>37</v>
      </c>
    </row>
    <row r="131" spans="1:10" x14ac:dyDescent="0.3">
      <c r="A131" s="42">
        <v>45961</v>
      </c>
      <c r="B131" s="1" t="s">
        <v>37</v>
      </c>
      <c r="C131" s="1" t="s">
        <v>119</v>
      </c>
      <c r="D131" s="1" t="s">
        <v>118</v>
      </c>
      <c r="E131" t="str">
        <f>+VLOOKUP(tbl_registro[[#This Row],[Patente]],Pivot_Equipos!$A$1:$E$39,3,FALSE)</f>
        <v>TRACTO PARA CAMA BAJA 60 y 100 TON</v>
      </c>
      <c r="F131" s="2" t="str">
        <f>+VLOOKUP(tbl_registro[[#This Row],[Tipo Equipo]],Pivot_Equipos!$C$1:$E$39,2,FALSE)</f>
        <v>Tracto Camión</v>
      </c>
      <c r="H131">
        <v>227850</v>
      </c>
      <c r="I131">
        <v>227850</v>
      </c>
      <c r="J131" s="2">
        <f t="shared" si="3"/>
        <v>0</v>
      </c>
    </row>
    <row r="132" spans="1:10" x14ac:dyDescent="0.3">
      <c r="A132" s="42">
        <v>45961</v>
      </c>
      <c r="B132" s="1" t="s">
        <v>37</v>
      </c>
      <c r="C132" s="1" t="s">
        <v>121</v>
      </c>
      <c r="D132" s="1" t="s">
        <v>120</v>
      </c>
      <c r="E132" t="str">
        <f>+VLOOKUP(tbl_registro[[#This Row],[Patente]],Pivot_Equipos!$A$1:$E$39,3,FALSE)</f>
        <v>CAMIÓN 10 TON</v>
      </c>
      <c r="F132" s="2" t="str">
        <f>+VLOOKUP(tbl_registro[[#This Row],[Tipo Equipo]],Pivot_Equipos!$C$1:$E$39,2,FALSE)</f>
        <v>Camión Plano</v>
      </c>
      <c r="H132">
        <v>6030</v>
      </c>
      <c r="I132">
        <v>6445.6</v>
      </c>
      <c r="J132" s="2">
        <f t="shared" si="3"/>
        <v>415.60000000000036</v>
      </c>
    </row>
    <row r="133" spans="1:10" x14ac:dyDescent="0.3">
      <c r="A133" s="42">
        <v>45962</v>
      </c>
      <c r="B133" s="1" t="s">
        <v>128</v>
      </c>
      <c r="C133" s="1" t="s">
        <v>112</v>
      </c>
      <c r="D133" s="1" t="s">
        <v>111</v>
      </c>
      <c r="E133" t="str">
        <f>+VLOOKUP(tbl_registro[[#This Row],[Patente]],Pivot_Equipos!$A$1:$E$39,3,FALSE)</f>
        <v>TRACTO CAMIONES 28TN (RAMPLA)</v>
      </c>
      <c r="F133" s="2" t="str">
        <f>+VLOOKUP(tbl_registro[[#This Row],[Tipo Equipo]],Pivot_Equipos!$C$1:$E$39,2,FALSE)</f>
        <v>Tracto Camión</v>
      </c>
      <c r="H133">
        <v>5625</v>
      </c>
      <c r="I133">
        <v>5625</v>
      </c>
      <c r="J133" s="2">
        <f t="shared" si="3"/>
        <v>0</v>
      </c>
    </row>
    <row r="134" spans="1:10" x14ac:dyDescent="0.3">
      <c r="A134" s="42">
        <v>45962</v>
      </c>
      <c r="B134" s="1" t="s">
        <v>128</v>
      </c>
      <c r="C134" s="1" t="s">
        <v>114</v>
      </c>
      <c r="D134" s="1" t="s">
        <v>113</v>
      </c>
      <c r="E134" t="str">
        <f>+VLOOKUP(tbl_registro[[#This Row],[Patente]],Pivot_Equipos!$A$1:$E$39,3,FALSE)</f>
        <v>TRACTO CAMIONES 28TN (RAMPLA)</v>
      </c>
      <c r="F134" s="2" t="str">
        <f>+VLOOKUP(tbl_registro[[#This Row],[Tipo Equipo]],Pivot_Equipos!$C$1:$E$39,2,FALSE)</f>
        <v>Tracto Camión</v>
      </c>
      <c r="H134">
        <v>6840</v>
      </c>
      <c r="I134">
        <v>6840</v>
      </c>
      <c r="J134" s="2">
        <f t="shared" si="3"/>
        <v>0</v>
      </c>
    </row>
    <row r="135" spans="1:10" x14ac:dyDescent="0.3">
      <c r="A135" s="42">
        <v>45962</v>
      </c>
      <c r="B135" s="1" t="s">
        <v>128</v>
      </c>
      <c r="C135" s="1" t="s">
        <v>54</v>
      </c>
      <c r="D135" s="1" t="s">
        <v>115</v>
      </c>
      <c r="E135" t="str">
        <f>+VLOOKUP(tbl_registro[[#This Row],[Patente]],Pivot_Equipos!$A$1:$E$39,3,FALSE)</f>
        <v>TRACTO PARA CAMA BAJA 25 y 40 TON</v>
      </c>
      <c r="F135" s="2" t="str">
        <f>+VLOOKUP(tbl_registro[[#This Row],[Tipo Equipo]],Pivot_Equipos!$C$1:$E$39,2,FALSE)</f>
        <v>Tracto Camión</v>
      </c>
      <c r="H135">
        <v>9456</v>
      </c>
      <c r="I135">
        <v>9507</v>
      </c>
      <c r="J135" s="2">
        <f t="shared" si="3"/>
        <v>51</v>
      </c>
    </row>
    <row r="136" spans="1:10" x14ac:dyDescent="0.3">
      <c r="A136" s="42">
        <v>45962</v>
      </c>
      <c r="B136" s="1" t="s">
        <v>128</v>
      </c>
      <c r="C136" s="1" t="s">
        <v>117</v>
      </c>
      <c r="D136" s="1" t="s">
        <v>116</v>
      </c>
      <c r="E136" t="str">
        <f>+VLOOKUP(tbl_registro[[#This Row],[Patente]],Pivot_Equipos!$A$1:$E$39,3,FALSE)</f>
        <v>TRACTO PARA CAMA BAJA 25 y 40 TON</v>
      </c>
      <c r="F136" s="2" t="str">
        <f>+VLOOKUP(tbl_registro[[#This Row],[Tipo Equipo]],Pivot_Equipos!$C$1:$E$39,2,FALSE)</f>
        <v>Tracto Camión</v>
      </c>
      <c r="H136">
        <v>7622</v>
      </c>
      <c r="I136">
        <v>7656</v>
      </c>
      <c r="J136" s="2">
        <f t="shared" si="3"/>
        <v>34</v>
      </c>
    </row>
    <row r="137" spans="1:10" x14ac:dyDescent="0.3">
      <c r="A137" s="42">
        <v>45962</v>
      </c>
      <c r="B137" s="1" t="s">
        <v>128</v>
      </c>
      <c r="C137" s="1" t="s">
        <v>119</v>
      </c>
      <c r="D137" s="1" t="s">
        <v>118</v>
      </c>
      <c r="E137" t="str">
        <f>+VLOOKUP(tbl_registro[[#This Row],[Patente]],Pivot_Equipos!$A$1:$E$39,3,FALSE)</f>
        <v>TRACTO PARA CAMA BAJA 60 y 100 TON</v>
      </c>
      <c r="F137" s="2" t="str">
        <f>+VLOOKUP(tbl_registro[[#This Row],[Tipo Equipo]],Pivot_Equipos!$C$1:$E$39,2,FALSE)</f>
        <v>Tracto Camión</v>
      </c>
      <c r="H137">
        <v>227849</v>
      </c>
      <c r="I137">
        <v>227849</v>
      </c>
      <c r="J137" s="2">
        <f t="shared" si="3"/>
        <v>0</v>
      </c>
    </row>
    <row r="138" spans="1:10" x14ac:dyDescent="0.3">
      <c r="A138" s="42">
        <v>45962</v>
      </c>
      <c r="B138" s="1" t="s">
        <v>128</v>
      </c>
      <c r="C138" s="1" t="s">
        <v>121</v>
      </c>
      <c r="D138" s="1" t="s">
        <v>120</v>
      </c>
      <c r="E138" t="str">
        <f>+VLOOKUP(tbl_registro[[#This Row],[Patente]],Pivot_Equipos!$A$1:$E$39,3,FALSE)</f>
        <v>CAMIÓN 10 TON</v>
      </c>
      <c r="F138" s="2" t="str">
        <f>+VLOOKUP(tbl_registro[[#This Row],[Tipo Equipo]],Pivot_Equipos!$C$1:$E$39,2,FALSE)</f>
        <v>Camión Plano</v>
      </c>
      <c r="H138">
        <v>6445.6</v>
      </c>
      <c r="I138">
        <v>6445.6</v>
      </c>
      <c r="J138" s="2">
        <f t="shared" si="3"/>
        <v>0</v>
      </c>
    </row>
    <row r="139" spans="1:10" x14ac:dyDescent="0.3">
      <c r="A139" s="42">
        <v>45963</v>
      </c>
      <c r="B139" s="1" t="s">
        <v>128</v>
      </c>
      <c r="C139" s="1" t="s">
        <v>112</v>
      </c>
      <c r="D139" s="1" t="s">
        <v>111</v>
      </c>
      <c r="E139" t="str">
        <f>+VLOOKUP(tbl_registro[[#This Row],[Patente]],Pivot_Equipos!$A$1:$E$39,3,FALSE)</f>
        <v>TRACTO CAMIONES 28TN (RAMPLA)</v>
      </c>
      <c r="F139" s="2" t="str">
        <f>+VLOOKUP(tbl_registro[[#This Row],[Tipo Equipo]],Pivot_Equipos!$C$1:$E$39,2,FALSE)</f>
        <v>Tracto Camión</v>
      </c>
      <c r="H139">
        <v>5625</v>
      </c>
      <c r="I139">
        <v>5625</v>
      </c>
      <c r="J139" s="2">
        <f t="shared" si="3"/>
        <v>0</v>
      </c>
    </row>
    <row r="140" spans="1:10" x14ac:dyDescent="0.3">
      <c r="A140" s="42">
        <v>45963</v>
      </c>
      <c r="B140" s="1" t="s">
        <v>128</v>
      </c>
      <c r="C140" s="1" t="s">
        <v>114</v>
      </c>
      <c r="D140" s="1" t="s">
        <v>113</v>
      </c>
      <c r="E140" t="str">
        <f>+VLOOKUP(tbl_registro[[#This Row],[Patente]],Pivot_Equipos!$A$1:$E$39,3,FALSE)</f>
        <v>TRACTO CAMIONES 28TN (RAMPLA)</v>
      </c>
      <c r="F140" s="2" t="str">
        <f>+VLOOKUP(tbl_registro[[#This Row],[Tipo Equipo]],Pivot_Equipos!$C$1:$E$39,2,FALSE)</f>
        <v>Tracto Camión</v>
      </c>
      <c r="H140">
        <v>6840</v>
      </c>
      <c r="I140">
        <v>6840</v>
      </c>
      <c r="J140" s="2">
        <f t="shared" si="3"/>
        <v>0</v>
      </c>
    </row>
    <row r="141" spans="1:10" x14ac:dyDescent="0.3">
      <c r="A141" s="42">
        <v>45963</v>
      </c>
      <c r="B141" s="1" t="s">
        <v>128</v>
      </c>
      <c r="C141" s="1" t="s">
        <v>54</v>
      </c>
      <c r="D141" s="1" t="s">
        <v>115</v>
      </c>
      <c r="E141" t="str">
        <f>+VLOOKUP(tbl_registro[[#This Row],[Patente]],Pivot_Equipos!$A$1:$E$39,3,FALSE)</f>
        <v>TRACTO PARA CAMA BAJA 25 y 40 TON</v>
      </c>
      <c r="F141" s="2" t="str">
        <f>+VLOOKUP(tbl_registro[[#This Row],[Tipo Equipo]],Pivot_Equipos!$C$1:$E$39,2,FALSE)</f>
        <v>Tracto Camión</v>
      </c>
      <c r="H141">
        <v>9507</v>
      </c>
      <c r="I141">
        <v>9507</v>
      </c>
      <c r="J141" s="2">
        <f t="shared" si="3"/>
        <v>0</v>
      </c>
    </row>
    <row r="142" spans="1:10" x14ac:dyDescent="0.3">
      <c r="A142" s="42">
        <v>45963</v>
      </c>
      <c r="B142" s="1" t="s">
        <v>128</v>
      </c>
      <c r="C142" s="1" t="s">
        <v>117</v>
      </c>
      <c r="D142" s="1" t="s">
        <v>116</v>
      </c>
      <c r="E142" t="str">
        <f>+VLOOKUP(tbl_registro[[#This Row],[Patente]],Pivot_Equipos!$A$1:$E$39,3,FALSE)</f>
        <v>TRACTO PARA CAMA BAJA 25 y 40 TON</v>
      </c>
      <c r="F142" s="2" t="str">
        <f>+VLOOKUP(tbl_registro[[#This Row],[Tipo Equipo]],Pivot_Equipos!$C$1:$E$39,2,FALSE)</f>
        <v>Tracto Camión</v>
      </c>
      <c r="H142">
        <v>7656</v>
      </c>
      <c r="I142">
        <v>7742</v>
      </c>
      <c r="J142" s="2">
        <f t="shared" si="3"/>
        <v>86</v>
      </c>
    </row>
    <row r="143" spans="1:10" x14ac:dyDescent="0.3">
      <c r="A143" s="42">
        <v>45963</v>
      </c>
      <c r="B143" s="1" t="s">
        <v>128</v>
      </c>
      <c r="C143" s="1" t="s">
        <v>119</v>
      </c>
      <c r="D143" s="1" t="s">
        <v>118</v>
      </c>
      <c r="E143" t="str">
        <f>+VLOOKUP(tbl_registro[[#This Row],[Patente]],Pivot_Equipos!$A$1:$E$39,3,FALSE)</f>
        <v>TRACTO PARA CAMA BAJA 60 y 100 TON</v>
      </c>
      <c r="F143" s="2" t="str">
        <f>+VLOOKUP(tbl_registro[[#This Row],[Tipo Equipo]],Pivot_Equipos!$C$1:$E$39,2,FALSE)</f>
        <v>Tracto Camión</v>
      </c>
      <c r="H143">
        <v>227849</v>
      </c>
      <c r="I143">
        <v>227849</v>
      </c>
      <c r="J143" s="2">
        <f t="shared" si="3"/>
        <v>0</v>
      </c>
    </row>
    <row r="144" spans="1:10" x14ac:dyDescent="0.3">
      <c r="A144" s="42">
        <v>45963</v>
      </c>
      <c r="B144" s="1" t="s">
        <v>128</v>
      </c>
      <c r="C144" s="1" t="s">
        <v>121</v>
      </c>
      <c r="D144" s="1" t="s">
        <v>120</v>
      </c>
      <c r="E144" t="str">
        <f>+VLOOKUP(tbl_registro[[#This Row],[Patente]],Pivot_Equipos!$A$1:$E$39,3,FALSE)</f>
        <v>CAMIÓN 10 TON</v>
      </c>
      <c r="F144" s="2" t="str">
        <f>+VLOOKUP(tbl_registro[[#This Row],[Tipo Equipo]],Pivot_Equipos!$C$1:$E$39,2,FALSE)</f>
        <v>Camión Plano</v>
      </c>
      <c r="H144">
        <v>6445.6</v>
      </c>
      <c r="I144">
        <v>6445.6</v>
      </c>
      <c r="J144" s="2">
        <f t="shared" si="3"/>
        <v>0</v>
      </c>
    </row>
    <row r="145" spans="1:10" x14ac:dyDescent="0.3">
      <c r="A145" s="42">
        <v>45964</v>
      </c>
      <c r="B145" s="1" t="s">
        <v>128</v>
      </c>
      <c r="C145" s="1" t="s">
        <v>46</v>
      </c>
      <c r="D145" s="1" t="s">
        <v>127</v>
      </c>
      <c r="E145" t="str">
        <f>+VLOOKUP(tbl_registro[[#This Row],[Patente]],Pivot_Equipos!$A$1:$E$39,3,FALSE)</f>
        <v>FURGON PEUGEOT</v>
      </c>
      <c r="F145" s="2" t="str">
        <f>+VLOOKUP(tbl_registro[[#This Row],[Tipo Equipo]],Pivot_Equipos!$C$1:$E$39,2,FALSE)</f>
        <v>Furgón</v>
      </c>
      <c r="H145">
        <v>7250</v>
      </c>
      <c r="I145">
        <v>7452</v>
      </c>
      <c r="J145" s="2">
        <f t="shared" si="3"/>
        <v>202</v>
      </c>
    </row>
    <row r="146" spans="1:10" x14ac:dyDescent="0.3">
      <c r="A146" s="42">
        <v>45964</v>
      </c>
      <c r="B146" s="1" t="s">
        <v>128</v>
      </c>
      <c r="C146" s="1" t="s">
        <v>100</v>
      </c>
      <c r="D146" s="1" t="s">
        <v>93</v>
      </c>
      <c r="E146" t="str">
        <f>+VLOOKUP(tbl_registro[[#This Row],[Patente]],Pivot_Equipos!$A$1:$E$39,3,FALSE)</f>
        <v>CAMIONETA</v>
      </c>
      <c r="F146" s="2" t="str">
        <f>+VLOOKUP(tbl_registro[[#This Row],[Tipo Equipo]],Pivot_Equipos!$C$1:$E$39,2,FALSE)</f>
        <v>Camioneta</v>
      </c>
      <c r="H146">
        <v>3509.5</v>
      </c>
      <c r="I146">
        <v>3575</v>
      </c>
      <c r="J146" s="2">
        <f t="shared" si="3"/>
        <v>65.5</v>
      </c>
    </row>
    <row r="147" spans="1:10" x14ac:dyDescent="0.3">
      <c r="A147" s="42">
        <v>45964</v>
      </c>
      <c r="B147" s="1" t="s">
        <v>128</v>
      </c>
      <c r="C147" s="1" t="s">
        <v>101</v>
      </c>
      <c r="D147" s="1" t="s">
        <v>94</v>
      </c>
      <c r="E147" t="str">
        <f>+VLOOKUP(tbl_registro[[#This Row],[Patente]],Pivot_Equipos!$A$1:$E$39,3,FALSE)</f>
        <v>CAMIONETA</v>
      </c>
      <c r="F147" s="2" t="str">
        <f>+VLOOKUP(tbl_registro[[#This Row],[Tipo Equipo]],Pivot_Equipos!$C$1:$E$39,2,FALSE)</f>
        <v>Camioneta</v>
      </c>
      <c r="H147">
        <v>8016</v>
      </c>
      <c r="I147">
        <v>8117.7</v>
      </c>
      <c r="J147" s="2">
        <f t="shared" si="3"/>
        <v>101.69999999999982</v>
      </c>
    </row>
    <row r="148" spans="1:10" x14ac:dyDescent="0.3">
      <c r="A148" s="42">
        <v>45964</v>
      </c>
      <c r="B148" s="1" t="s">
        <v>128</v>
      </c>
      <c r="C148" s="1" t="s">
        <v>102</v>
      </c>
      <c r="D148" s="1" t="s">
        <v>95</v>
      </c>
      <c r="E148" t="str">
        <f>+VLOOKUP(tbl_registro[[#This Row],[Patente]],Pivot_Equipos!$A$1:$E$39,3,FALSE)</f>
        <v>CAMIONETA</v>
      </c>
      <c r="F148" s="2" t="str">
        <f>+VLOOKUP(tbl_registro[[#This Row],[Tipo Equipo]],Pivot_Equipos!$C$1:$E$39,2,FALSE)</f>
        <v>Camioneta</v>
      </c>
      <c r="H148">
        <v>3265.2</v>
      </c>
      <c r="I148">
        <v>3410</v>
      </c>
      <c r="J148" s="2">
        <f t="shared" si="3"/>
        <v>144.80000000000018</v>
      </c>
    </row>
    <row r="149" spans="1:10" x14ac:dyDescent="0.3">
      <c r="A149" s="42">
        <v>45964</v>
      </c>
      <c r="B149" s="1" t="s">
        <v>128</v>
      </c>
      <c r="C149" s="1" t="s">
        <v>103</v>
      </c>
      <c r="D149" s="1" t="s">
        <v>96</v>
      </c>
      <c r="E149" t="str">
        <f>+VLOOKUP(tbl_registro[[#This Row],[Patente]],Pivot_Equipos!$A$1:$E$39,3,FALSE)</f>
        <v>CAMIONETA</v>
      </c>
      <c r="F149" s="2" t="str">
        <f>+VLOOKUP(tbl_registro[[#This Row],[Tipo Equipo]],Pivot_Equipos!$C$1:$E$39,2,FALSE)</f>
        <v>Camioneta</v>
      </c>
      <c r="H149">
        <v>7550</v>
      </c>
      <c r="J149" s="2">
        <f t="shared" si="3"/>
        <v>-7550</v>
      </c>
    </row>
    <row r="150" spans="1:10" x14ac:dyDescent="0.3">
      <c r="A150" s="42">
        <v>45964</v>
      </c>
      <c r="B150" s="1" t="s">
        <v>128</v>
      </c>
      <c r="C150" s="1" t="s">
        <v>104</v>
      </c>
      <c r="D150" s="1" t="s">
        <v>97</v>
      </c>
      <c r="E150" t="str">
        <f>+VLOOKUP(tbl_registro[[#This Row],[Patente]],Pivot_Equipos!$A$1:$E$39,3,FALSE)</f>
        <v>CAMIONETA</v>
      </c>
      <c r="F150" s="2" t="str">
        <f>+VLOOKUP(tbl_registro[[#This Row],[Tipo Equipo]],Pivot_Equipos!$C$1:$E$39,2,FALSE)</f>
        <v>Camioneta</v>
      </c>
      <c r="H150">
        <v>4732</v>
      </c>
      <c r="I150">
        <v>4872</v>
      </c>
      <c r="J150" s="2">
        <f t="shared" si="3"/>
        <v>140</v>
      </c>
    </row>
    <row r="151" spans="1:10" x14ac:dyDescent="0.3">
      <c r="A151" s="42">
        <v>45964</v>
      </c>
      <c r="B151" s="1" t="s">
        <v>128</v>
      </c>
      <c r="C151" s="1" t="s">
        <v>105</v>
      </c>
      <c r="D151" s="1" t="s">
        <v>98</v>
      </c>
      <c r="E151" t="str">
        <f>+VLOOKUP(tbl_registro[[#This Row],[Patente]],Pivot_Equipos!$A$1:$E$39,3,FALSE)</f>
        <v>CAMIONETA</v>
      </c>
      <c r="F151" s="2" t="str">
        <f>+VLOOKUP(tbl_registro[[#This Row],[Tipo Equipo]],Pivot_Equipos!$C$1:$E$39,2,FALSE)</f>
        <v>Camioneta</v>
      </c>
      <c r="H151">
        <v>3412.5</v>
      </c>
      <c r="J151" s="2">
        <f t="shared" si="3"/>
        <v>-3412.5</v>
      </c>
    </row>
    <row r="152" spans="1:10" x14ac:dyDescent="0.3">
      <c r="A152" s="42">
        <v>45964</v>
      </c>
      <c r="B152" s="1" t="s">
        <v>128</v>
      </c>
      <c r="C152" s="1" t="s">
        <v>106</v>
      </c>
      <c r="D152" s="1" t="s">
        <v>99</v>
      </c>
      <c r="E152" t="str">
        <f>+VLOOKUP(tbl_registro[[#This Row],[Patente]],Pivot_Equipos!$A$1:$E$39,3,FALSE)</f>
        <v>CAMIONETA</v>
      </c>
      <c r="F152" s="2" t="str">
        <f>+VLOOKUP(tbl_registro[[#This Row],[Tipo Equipo]],Pivot_Equipos!$C$1:$E$39,2,FALSE)</f>
        <v>Camioneta</v>
      </c>
      <c r="H152">
        <v>4692</v>
      </c>
      <c r="I152">
        <v>4523</v>
      </c>
      <c r="J152" s="2">
        <f t="shared" si="3"/>
        <v>-169</v>
      </c>
    </row>
    <row r="153" spans="1:10" x14ac:dyDescent="0.3">
      <c r="A153" s="42">
        <v>45964</v>
      </c>
      <c r="B153" s="1" t="s">
        <v>128</v>
      </c>
      <c r="C153" s="1" t="s">
        <v>15</v>
      </c>
      <c r="D153" s="1">
        <v>465</v>
      </c>
      <c r="E153" t="str">
        <f>+VLOOKUP(tbl_registro[[#This Row],[Patente]],Pivot_Equipos!$A$1:$E$39,3,FALSE)</f>
        <v>GRUA HORQUILLA 16 TON</v>
      </c>
      <c r="F153" s="2" t="str">
        <f>+VLOOKUP(tbl_registro[[#This Row],[Tipo Equipo]],Pivot_Equipos!$C$1:$E$39,2,FALSE)</f>
        <v>Grua</v>
      </c>
      <c r="H153">
        <v>288.10000000000002</v>
      </c>
      <c r="J153" s="2">
        <f t="shared" si="3"/>
        <v>-288.10000000000002</v>
      </c>
    </row>
    <row r="154" spans="1:10" x14ac:dyDescent="0.3">
      <c r="A154" s="42">
        <v>45964</v>
      </c>
      <c r="B154" s="1" t="s">
        <v>128</v>
      </c>
      <c r="C154" s="1" t="s">
        <v>16</v>
      </c>
      <c r="D154" s="1">
        <v>466</v>
      </c>
      <c r="E154" t="str">
        <f>+VLOOKUP(tbl_registro[[#This Row],[Patente]],Pivot_Equipos!$A$1:$E$39,3,FALSE)</f>
        <v>GRUA HORQUILLA 16 TON</v>
      </c>
      <c r="F154" s="2" t="str">
        <f>+VLOOKUP(tbl_registro[[#This Row],[Tipo Equipo]],Pivot_Equipos!$C$1:$E$39,2,FALSE)</f>
        <v>Grua</v>
      </c>
      <c r="H154">
        <v>278.8</v>
      </c>
      <c r="J154" s="2">
        <f t="shared" si="3"/>
        <v>-278.8</v>
      </c>
    </row>
    <row r="155" spans="1:10" x14ac:dyDescent="0.3">
      <c r="A155" s="42">
        <v>45964</v>
      </c>
      <c r="B155" s="1" t="s">
        <v>128</v>
      </c>
      <c r="C155" s="1" t="s">
        <v>17</v>
      </c>
      <c r="D155" s="1">
        <v>461</v>
      </c>
      <c r="E155" t="str">
        <f>+VLOOKUP(tbl_registro[[#This Row],[Patente]],Pivot_Equipos!$A$1:$E$39,3,FALSE)</f>
        <v>GRUA HORQUILLA 7 TON</v>
      </c>
      <c r="F155" s="2" t="str">
        <f>+VLOOKUP(tbl_registro[[#This Row],[Tipo Equipo]],Pivot_Equipos!$C$1:$E$39,2,FALSE)</f>
        <v>Grua</v>
      </c>
      <c r="H155">
        <v>64.900000000000006</v>
      </c>
      <c r="I155">
        <v>64.900000000000006</v>
      </c>
      <c r="J155" s="2">
        <f t="shared" si="3"/>
        <v>0</v>
      </c>
    </row>
    <row r="156" spans="1:10" x14ac:dyDescent="0.3">
      <c r="A156" s="42">
        <v>45964</v>
      </c>
      <c r="B156" s="1" t="s">
        <v>128</v>
      </c>
      <c r="C156" s="1" t="s">
        <v>18</v>
      </c>
      <c r="D156" s="1">
        <v>462</v>
      </c>
      <c r="E156" t="str">
        <f>+VLOOKUP(tbl_registro[[#This Row],[Patente]],Pivot_Equipos!$A$1:$E$39,3,FALSE)</f>
        <v>GRUA HORQUILLA 7 TON</v>
      </c>
      <c r="F156" s="2" t="str">
        <f>+VLOOKUP(tbl_registro[[#This Row],[Tipo Equipo]],Pivot_Equipos!$C$1:$E$39,2,FALSE)</f>
        <v>Grua</v>
      </c>
      <c r="H156">
        <v>203.5</v>
      </c>
      <c r="J156" s="2">
        <f t="shared" si="3"/>
        <v>-203.5</v>
      </c>
    </row>
    <row r="157" spans="1:10" x14ac:dyDescent="0.3">
      <c r="A157" s="42">
        <v>45964</v>
      </c>
      <c r="B157" s="1" t="s">
        <v>128</v>
      </c>
      <c r="C157" s="1" t="s">
        <v>19</v>
      </c>
      <c r="D157" s="1">
        <v>463</v>
      </c>
      <c r="E157" t="str">
        <f>+VLOOKUP(tbl_registro[[#This Row],[Patente]],Pivot_Equipos!$A$1:$E$39,3,FALSE)</f>
        <v>GRUA HORQUILLA 7 TON</v>
      </c>
      <c r="F157" s="2" t="str">
        <f>+VLOOKUP(tbl_registro[[#This Row],[Tipo Equipo]],Pivot_Equipos!$C$1:$E$39,2,FALSE)</f>
        <v>Grua</v>
      </c>
      <c r="H157">
        <v>170</v>
      </c>
      <c r="J157" s="2">
        <f t="shared" si="3"/>
        <v>-170</v>
      </c>
    </row>
    <row r="158" spans="1:10" x14ac:dyDescent="0.3">
      <c r="A158" s="42">
        <v>45964</v>
      </c>
      <c r="B158" s="1" t="s">
        <v>128</v>
      </c>
      <c r="C158" s="1" t="s">
        <v>20</v>
      </c>
      <c r="D158" s="1">
        <v>464</v>
      </c>
      <c r="E158" t="str">
        <f>+VLOOKUP(tbl_registro[[#This Row],[Patente]],Pivot_Equipos!$A$1:$E$39,3,FALSE)</f>
        <v>GRUA HORQUILLA 7 TON</v>
      </c>
      <c r="F158" s="2" t="str">
        <f>+VLOOKUP(tbl_registro[[#This Row],[Tipo Equipo]],Pivot_Equipos!$C$1:$E$39,2,FALSE)</f>
        <v>Grua</v>
      </c>
      <c r="H158">
        <v>238.5</v>
      </c>
      <c r="I158">
        <v>238.8</v>
      </c>
      <c r="J158" s="2">
        <f t="shared" si="3"/>
        <v>0.30000000000001137</v>
      </c>
    </row>
    <row r="159" spans="1:10" x14ac:dyDescent="0.3">
      <c r="A159" s="42">
        <v>45964</v>
      </c>
      <c r="B159" s="1" t="s">
        <v>128</v>
      </c>
      <c r="C159" s="1" t="s">
        <v>21</v>
      </c>
      <c r="D159" s="1">
        <v>459</v>
      </c>
      <c r="E159" t="str">
        <f>+VLOOKUP(tbl_registro[[#This Row],[Patente]],Pivot_Equipos!$A$1:$E$39,3,FALSE)</f>
        <v>GRUA HORQUILLA 3 TON</v>
      </c>
      <c r="F159" s="2" t="str">
        <f>+VLOOKUP(tbl_registro[[#This Row],[Tipo Equipo]],Pivot_Equipos!$C$1:$E$39,2,FALSE)</f>
        <v>Grua</v>
      </c>
      <c r="H159">
        <v>124</v>
      </c>
      <c r="J159" s="2">
        <f t="shared" si="3"/>
        <v>-124</v>
      </c>
    </row>
    <row r="160" spans="1:10" x14ac:dyDescent="0.3">
      <c r="A160" s="42">
        <v>45964</v>
      </c>
      <c r="B160" s="1" t="s">
        <v>128</v>
      </c>
      <c r="C160" s="1" t="s">
        <v>22</v>
      </c>
      <c r="D160" s="1">
        <v>460</v>
      </c>
      <c r="E160" t="str">
        <f>+VLOOKUP(tbl_registro[[#This Row],[Patente]],Pivot_Equipos!$A$1:$E$39,3,FALSE)</f>
        <v>GRUA HORQUILLA 3 TON</v>
      </c>
      <c r="F160" s="2" t="str">
        <f>+VLOOKUP(tbl_registro[[#This Row],[Tipo Equipo]],Pivot_Equipos!$C$1:$E$39,2,FALSE)</f>
        <v>Grua</v>
      </c>
      <c r="H160">
        <v>153.9</v>
      </c>
      <c r="I160">
        <v>155.30000000000001</v>
      </c>
      <c r="J160" s="2">
        <f t="shared" si="3"/>
        <v>1.4000000000000057</v>
      </c>
    </row>
    <row r="161" spans="1:10" x14ac:dyDescent="0.3">
      <c r="A161" s="42">
        <v>45964</v>
      </c>
      <c r="B161" s="1" t="s">
        <v>128</v>
      </c>
      <c r="C161" s="1" t="s">
        <v>23</v>
      </c>
      <c r="D161" s="1">
        <v>475</v>
      </c>
      <c r="E161" t="str">
        <f>+VLOOKUP(tbl_registro[[#This Row],[Patente]],Pivot_Equipos!$A$1:$E$39,3,FALSE)</f>
        <v>GRUA HORQUILLA 3.5 TON ELECTRICA</v>
      </c>
      <c r="F161" s="2" t="str">
        <f>+VLOOKUP(tbl_registro[[#This Row],[Tipo Equipo]],Pivot_Equipos!$C$1:$E$39,2,FALSE)</f>
        <v>Grua</v>
      </c>
      <c r="H161">
        <v>55</v>
      </c>
      <c r="J161" s="2">
        <f t="shared" si="3"/>
        <v>-55</v>
      </c>
    </row>
    <row r="162" spans="1:10" x14ac:dyDescent="0.3">
      <c r="A162" s="42">
        <v>45964</v>
      </c>
      <c r="B162" s="1" t="s">
        <v>128</v>
      </c>
      <c r="C162" s="1" t="s">
        <v>24</v>
      </c>
      <c r="D162" s="1">
        <v>467</v>
      </c>
      <c r="E162" t="str">
        <f>+VLOOKUP(tbl_registro[[#This Row],[Patente]],Pivot_Equipos!$A$1:$E$39,3,FALSE)</f>
        <v>GRUA HORQUILLA 2.5 TON ELECTRICA</v>
      </c>
      <c r="F162" s="2" t="str">
        <f>+VLOOKUP(tbl_registro[[#This Row],[Tipo Equipo]],Pivot_Equipos!$C$1:$E$39,2,FALSE)</f>
        <v>Grua</v>
      </c>
      <c r="H162">
        <v>198</v>
      </c>
      <c r="J162" s="2">
        <f t="shared" si="3"/>
        <v>-198</v>
      </c>
    </row>
    <row r="163" spans="1:10" x14ac:dyDescent="0.3">
      <c r="A163" s="42">
        <v>45964</v>
      </c>
      <c r="B163" s="1" t="s">
        <v>128</v>
      </c>
      <c r="C163" s="1" t="s">
        <v>112</v>
      </c>
      <c r="D163" s="1" t="s">
        <v>111</v>
      </c>
      <c r="E163" t="str">
        <f>+VLOOKUP(tbl_registro[[#This Row],[Patente]],Pivot_Equipos!$A$1:$E$39,3,FALSE)</f>
        <v>TRACTO CAMIONES 28TN (RAMPLA)</v>
      </c>
      <c r="F163" s="2" t="str">
        <f>+VLOOKUP(tbl_registro[[#This Row],[Tipo Equipo]],Pivot_Equipos!$C$1:$E$39,2,FALSE)</f>
        <v>Tracto Camión</v>
      </c>
      <c r="H163">
        <v>5625</v>
      </c>
      <c r="I163">
        <v>5639</v>
      </c>
      <c r="J163" s="2">
        <f t="shared" si="3"/>
        <v>14</v>
      </c>
    </row>
    <row r="164" spans="1:10" x14ac:dyDescent="0.3">
      <c r="A164" s="42">
        <v>45964</v>
      </c>
      <c r="B164" s="1" t="s">
        <v>128</v>
      </c>
      <c r="C164" s="1" t="s">
        <v>114</v>
      </c>
      <c r="D164" s="1" t="s">
        <v>113</v>
      </c>
      <c r="E164" t="str">
        <f>+VLOOKUP(tbl_registro[[#This Row],[Patente]],Pivot_Equipos!$A$1:$E$39,3,FALSE)</f>
        <v>TRACTO CAMIONES 28TN (RAMPLA)</v>
      </c>
      <c r="F164" s="2" t="str">
        <f>+VLOOKUP(tbl_registro[[#This Row],[Tipo Equipo]],Pivot_Equipos!$C$1:$E$39,2,FALSE)</f>
        <v>Tracto Camión</v>
      </c>
      <c r="H164">
        <v>6840</v>
      </c>
      <c r="J164" s="2">
        <f t="shared" si="3"/>
        <v>-6840</v>
      </c>
    </row>
    <row r="165" spans="1:10" x14ac:dyDescent="0.3">
      <c r="A165" s="42">
        <v>45964</v>
      </c>
      <c r="B165" s="1" t="s">
        <v>128</v>
      </c>
      <c r="C165" s="1" t="s">
        <v>54</v>
      </c>
      <c r="D165" s="1" t="s">
        <v>115</v>
      </c>
      <c r="E165" t="str">
        <f>+VLOOKUP(tbl_registro[[#This Row],[Patente]],Pivot_Equipos!$A$1:$E$39,3,FALSE)</f>
        <v>TRACTO PARA CAMA BAJA 25 y 40 TON</v>
      </c>
      <c r="F165" s="2" t="str">
        <f>+VLOOKUP(tbl_registro[[#This Row],[Tipo Equipo]],Pivot_Equipos!$C$1:$E$39,2,FALSE)</f>
        <v>Tracto Camión</v>
      </c>
      <c r="H165">
        <v>9507</v>
      </c>
      <c r="I165">
        <v>9387</v>
      </c>
      <c r="J165" s="2">
        <f t="shared" si="3"/>
        <v>-120</v>
      </c>
    </row>
    <row r="166" spans="1:10" x14ac:dyDescent="0.3">
      <c r="A166" s="42">
        <v>45964</v>
      </c>
      <c r="B166" s="1" t="s">
        <v>128</v>
      </c>
      <c r="C166" s="1" t="s">
        <v>117</v>
      </c>
      <c r="D166" s="1" t="s">
        <v>116</v>
      </c>
      <c r="E166" t="str">
        <f>+VLOOKUP(tbl_registro[[#This Row],[Patente]],Pivot_Equipos!$A$1:$E$39,3,FALSE)</f>
        <v>TRACTO PARA CAMA BAJA 25 y 40 TON</v>
      </c>
      <c r="F166" s="2" t="str">
        <f>+VLOOKUP(tbl_registro[[#This Row],[Tipo Equipo]],Pivot_Equipos!$C$1:$E$39,2,FALSE)</f>
        <v>Tracto Camión</v>
      </c>
      <c r="H166">
        <v>7742</v>
      </c>
      <c r="I166">
        <v>7766</v>
      </c>
      <c r="J166" s="2">
        <f t="shared" si="3"/>
        <v>24</v>
      </c>
    </row>
    <row r="167" spans="1:10" x14ac:dyDescent="0.3">
      <c r="A167" s="42">
        <v>45964</v>
      </c>
      <c r="B167" s="1" t="s">
        <v>128</v>
      </c>
      <c r="C167" s="1" t="s">
        <v>119</v>
      </c>
      <c r="D167" s="1" t="s">
        <v>118</v>
      </c>
      <c r="E167" t="str">
        <f>+VLOOKUP(tbl_registro[[#This Row],[Patente]],Pivot_Equipos!$A$1:$E$39,3,FALSE)</f>
        <v>TRACTO PARA CAMA BAJA 60 y 100 TON</v>
      </c>
      <c r="F167" s="2" t="str">
        <f>+VLOOKUP(tbl_registro[[#This Row],[Tipo Equipo]],Pivot_Equipos!$C$1:$E$39,2,FALSE)</f>
        <v>Tracto Camión</v>
      </c>
      <c r="H167">
        <v>227849</v>
      </c>
      <c r="J167" s="2">
        <f t="shared" si="3"/>
        <v>-227849</v>
      </c>
    </row>
    <row r="168" spans="1:10" x14ac:dyDescent="0.3">
      <c r="A168" s="42">
        <v>45964</v>
      </c>
      <c r="B168" s="1" t="s">
        <v>128</v>
      </c>
      <c r="C168" s="1" t="s">
        <v>121</v>
      </c>
      <c r="D168" s="1" t="s">
        <v>120</v>
      </c>
      <c r="E168" t="str">
        <f>+VLOOKUP(tbl_registro[[#This Row],[Patente]],Pivot_Equipos!$A$1:$E$39,3,FALSE)</f>
        <v>CAMIÓN 10 TON</v>
      </c>
      <c r="F168" s="2" t="str">
        <f>+VLOOKUP(tbl_registro[[#This Row],[Tipo Equipo]],Pivot_Equipos!$C$1:$E$39,2,FALSE)</f>
        <v>Camión Plano</v>
      </c>
      <c r="H168">
        <v>6445.6</v>
      </c>
      <c r="I168">
        <v>6561</v>
      </c>
      <c r="J168" s="2">
        <f t="shared" si="3"/>
        <v>115.39999999999964</v>
      </c>
    </row>
    <row r="169" spans="1:10" x14ac:dyDescent="0.3">
      <c r="A169" s="2"/>
      <c r="C169" s="1"/>
      <c r="D169" s="1"/>
      <c r="E169" t="e">
        <f>+VLOOKUP(tbl_registro[[#This Row],[Patente]],Pivot_Equipos!$A$1:$E$39,3,FALSE)</f>
        <v>#N/A</v>
      </c>
      <c r="F169" s="2" t="e">
        <f>+VLOOKUP(tbl_registro[[#This Row],[Tipo Equipo]],Pivot_Equipos!$C$1:$E$39,2,FALSE)</f>
        <v>#N/A</v>
      </c>
      <c r="J169" s="2">
        <f t="shared" si="3"/>
        <v>0</v>
      </c>
    </row>
    <row r="170" spans="1:10" x14ac:dyDescent="0.3">
      <c r="A170" s="2"/>
      <c r="C170" s="1"/>
      <c r="D170" s="1"/>
      <c r="E170" t="e">
        <f>+VLOOKUP(tbl_registro[[#This Row],[Patente]],Pivot_Equipos!$A$1:$E$39,3,FALSE)</f>
        <v>#N/A</v>
      </c>
      <c r="F170" s="2" t="e">
        <f>+VLOOKUP(tbl_registro[[#This Row],[Tipo Equipo]],Pivot_Equipos!$C$1:$E$39,2,FALSE)</f>
        <v>#N/A</v>
      </c>
      <c r="J170" s="2">
        <f t="shared" si="3"/>
        <v>0</v>
      </c>
    </row>
    <row r="171" spans="1:10" x14ac:dyDescent="0.3">
      <c r="A171" s="2"/>
      <c r="C171" s="1"/>
      <c r="D171" s="1"/>
      <c r="E171" t="e">
        <f>+VLOOKUP(tbl_registro[[#This Row],[Patente]],Pivot_Equipos!$A$1:$E$39,3,FALSE)</f>
        <v>#N/A</v>
      </c>
      <c r="F171" s="2" t="e">
        <f>+VLOOKUP(tbl_registro[[#This Row],[Tipo Equipo]],Pivot_Equipos!$C$1:$E$39,2,FALSE)</f>
        <v>#N/A</v>
      </c>
      <c r="J171" s="2">
        <f t="shared" si="3"/>
        <v>0</v>
      </c>
    </row>
    <row r="172" spans="1:10" x14ac:dyDescent="0.3">
      <c r="A172" s="2"/>
      <c r="C172" s="1"/>
      <c r="D172" s="1"/>
      <c r="E172" t="e">
        <f>+VLOOKUP(tbl_registro[[#This Row],[Patente]],Pivot_Equipos!$A$1:$E$39,3,FALSE)</f>
        <v>#N/A</v>
      </c>
      <c r="F172" s="2" t="e">
        <f>+VLOOKUP(tbl_registro[[#This Row],[Tipo Equipo]],Pivot_Equipos!$C$1:$E$39,2,FALSE)</f>
        <v>#N/A</v>
      </c>
      <c r="J172" s="2">
        <f t="shared" si="3"/>
        <v>0</v>
      </c>
    </row>
    <row r="173" spans="1:10" x14ac:dyDescent="0.3">
      <c r="A173" s="2"/>
      <c r="C173" s="1"/>
      <c r="D173" s="1"/>
      <c r="E173" t="e">
        <f>+VLOOKUP(tbl_registro[[#This Row],[Patente]],Pivot_Equipos!$A$1:$E$39,3,FALSE)</f>
        <v>#N/A</v>
      </c>
      <c r="F173" s="2" t="e">
        <f>+VLOOKUP(tbl_registro[[#This Row],[Tipo Equipo]],Pivot_Equipos!$C$1:$E$39,2,FALSE)</f>
        <v>#N/A</v>
      </c>
      <c r="J173" s="2">
        <f t="shared" si="3"/>
        <v>0</v>
      </c>
    </row>
    <row r="174" spans="1:10" x14ac:dyDescent="0.3">
      <c r="A174" s="2"/>
      <c r="C174" s="1"/>
      <c r="D174" s="1"/>
      <c r="E174" t="e">
        <f>+VLOOKUP(tbl_registro[[#This Row],[Patente]],Pivot_Equipos!$A$1:$E$39,3,FALSE)</f>
        <v>#N/A</v>
      </c>
      <c r="F174" s="2" t="e">
        <f>+VLOOKUP(tbl_registro[[#This Row],[Tipo Equipo]],Pivot_Equipos!$C$1:$E$39,2,FALSE)</f>
        <v>#N/A</v>
      </c>
      <c r="J174" s="2">
        <f t="shared" si="3"/>
        <v>0</v>
      </c>
    </row>
    <row r="175" spans="1:10" x14ac:dyDescent="0.3">
      <c r="A175" s="2"/>
      <c r="C175" s="1"/>
      <c r="D175" s="1"/>
      <c r="E175" t="e">
        <f>+VLOOKUP(tbl_registro[[#This Row],[Patente]],Pivot_Equipos!$A$1:$E$39,3,FALSE)</f>
        <v>#N/A</v>
      </c>
      <c r="F175" s="2" t="e">
        <f>+VLOOKUP(tbl_registro[[#This Row],[Tipo Equipo]],Pivot_Equipos!$C$1:$E$39,2,FALSE)</f>
        <v>#N/A</v>
      </c>
      <c r="J175" s="2">
        <f t="shared" si="3"/>
        <v>0</v>
      </c>
    </row>
    <row r="176" spans="1:10" x14ac:dyDescent="0.3">
      <c r="A176" s="2"/>
      <c r="C176" s="1"/>
      <c r="D176" s="1"/>
      <c r="E176" t="e">
        <f>+VLOOKUP(tbl_registro[[#This Row],[Patente]],Pivot_Equipos!$A$1:$E$39,3,FALSE)</f>
        <v>#N/A</v>
      </c>
      <c r="F176" s="2" t="e">
        <f>+VLOOKUP(tbl_registro[[#This Row],[Tipo Equipo]],Pivot_Equipos!$C$1:$E$39,2,FALSE)</f>
        <v>#N/A</v>
      </c>
      <c r="J176" s="2">
        <f t="shared" si="3"/>
        <v>0</v>
      </c>
    </row>
    <row r="177" spans="1:10" x14ac:dyDescent="0.3">
      <c r="A177" s="2"/>
      <c r="C177" s="1"/>
      <c r="D177" s="1"/>
      <c r="E177" t="e">
        <f>+VLOOKUP(tbl_registro[[#This Row],[Patente]],Pivot_Equipos!$A$1:$E$39,3,FALSE)</f>
        <v>#N/A</v>
      </c>
      <c r="F177" s="2" t="e">
        <f>+VLOOKUP(tbl_registro[[#This Row],[Tipo Equipo]],Pivot_Equipos!$C$1:$E$39,2,FALSE)</f>
        <v>#N/A</v>
      </c>
      <c r="J177" s="2">
        <f t="shared" si="3"/>
        <v>0</v>
      </c>
    </row>
    <row r="178" spans="1:10" x14ac:dyDescent="0.3">
      <c r="A178" s="2"/>
      <c r="C178" s="1"/>
      <c r="D178" s="1"/>
      <c r="E178" t="e">
        <f>+VLOOKUP(tbl_registro[[#This Row],[Patente]],Pivot_Equipos!$A$1:$E$39,3,FALSE)</f>
        <v>#N/A</v>
      </c>
      <c r="F178" s="2" t="e">
        <f>+VLOOKUP(tbl_registro[[#This Row],[Tipo Equipo]],Pivot_Equipos!$C$1:$E$39,2,FALSE)</f>
        <v>#N/A</v>
      </c>
      <c r="J178" s="2">
        <f t="shared" si="3"/>
        <v>0</v>
      </c>
    </row>
    <row r="179" spans="1:10" x14ac:dyDescent="0.3">
      <c r="A179" s="2"/>
      <c r="C179" s="1"/>
      <c r="D179" s="1"/>
      <c r="E179" t="e">
        <f>+VLOOKUP(tbl_registro[[#This Row],[Patente]],Pivot_Equipos!$A$1:$E$39,3,FALSE)</f>
        <v>#N/A</v>
      </c>
      <c r="F179" s="2" t="e">
        <f>+VLOOKUP(tbl_registro[[#This Row],[Tipo Equipo]],Pivot_Equipos!$C$1:$E$39,2,FALSE)</f>
        <v>#N/A</v>
      </c>
      <c r="J179" s="2">
        <f t="shared" si="3"/>
        <v>0</v>
      </c>
    </row>
    <row r="180" spans="1:10" x14ac:dyDescent="0.3">
      <c r="A180" s="2"/>
      <c r="C180" s="1"/>
      <c r="D180" s="1"/>
      <c r="E180" t="e">
        <f>+VLOOKUP(tbl_registro[[#This Row],[Patente]],Pivot_Equipos!$A$1:$E$39,3,FALSE)</f>
        <v>#N/A</v>
      </c>
      <c r="F180" s="2" t="e">
        <f>+VLOOKUP(tbl_registro[[#This Row],[Tipo Equipo]],Pivot_Equipos!$C$1:$E$39,2,FALSE)</f>
        <v>#N/A</v>
      </c>
      <c r="J180" s="2">
        <f t="shared" si="3"/>
        <v>0</v>
      </c>
    </row>
    <row r="181" spans="1:10" x14ac:dyDescent="0.3">
      <c r="A181" s="2"/>
      <c r="C181" s="1"/>
      <c r="D181" s="1"/>
      <c r="E181" t="e">
        <f>+VLOOKUP(tbl_registro[[#This Row],[Patente]],Pivot_Equipos!$A$1:$E$39,3,FALSE)</f>
        <v>#N/A</v>
      </c>
      <c r="F181" s="2" t="e">
        <f>+VLOOKUP(tbl_registro[[#This Row],[Tipo Equipo]],Pivot_Equipos!$C$1:$E$39,2,FALSE)</f>
        <v>#N/A</v>
      </c>
      <c r="J181" s="2">
        <f t="shared" si="3"/>
        <v>0</v>
      </c>
    </row>
    <row r="182" spans="1:10" x14ac:dyDescent="0.3">
      <c r="A182" s="2"/>
      <c r="C182" s="1"/>
      <c r="D182" s="1"/>
      <c r="E182" t="e">
        <f>+VLOOKUP(tbl_registro[[#This Row],[Patente]],Pivot_Equipos!$A$1:$E$39,3,FALSE)</f>
        <v>#N/A</v>
      </c>
      <c r="F182" s="2" t="e">
        <f>+VLOOKUP(tbl_registro[[#This Row],[Tipo Equipo]],Pivot_Equipos!$C$1:$E$39,2,FALSE)</f>
        <v>#N/A</v>
      </c>
      <c r="J182" s="2">
        <f t="shared" si="3"/>
        <v>0</v>
      </c>
    </row>
    <row r="183" spans="1:10" x14ac:dyDescent="0.3">
      <c r="A183" s="2"/>
      <c r="C183" s="1"/>
      <c r="D183" s="1"/>
      <c r="E183" t="e">
        <f>+VLOOKUP(tbl_registro[[#This Row],[Patente]],Pivot_Equipos!$A$1:$E$39,3,FALSE)</f>
        <v>#N/A</v>
      </c>
      <c r="F183" s="2" t="e">
        <f>+VLOOKUP(tbl_registro[[#This Row],[Tipo Equipo]],Pivot_Equipos!$C$1:$E$39,2,FALSE)</f>
        <v>#N/A</v>
      </c>
      <c r="J183" s="2">
        <f t="shared" si="3"/>
        <v>0</v>
      </c>
    </row>
    <row r="184" spans="1:10" x14ac:dyDescent="0.3">
      <c r="A184" s="2"/>
      <c r="C184" s="1"/>
      <c r="D184" s="1"/>
      <c r="E184" t="e">
        <f>+VLOOKUP(tbl_registro[[#This Row],[Patente]],Pivot_Equipos!$A$1:$E$39,3,FALSE)</f>
        <v>#N/A</v>
      </c>
      <c r="F184" s="2" t="e">
        <f>+VLOOKUP(tbl_registro[[#This Row],[Tipo Equipo]],Pivot_Equipos!$C$1:$E$39,2,FALSE)</f>
        <v>#N/A</v>
      </c>
      <c r="J184" s="2">
        <f t="shared" si="3"/>
        <v>0</v>
      </c>
    </row>
    <row r="185" spans="1:10" x14ac:dyDescent="0.3">
      <c r="A185" s="2"/>
      <c r="C185" s="1"/>
      <c r="D185" s="1"/>
      <c r="E185" t="e">
        <f>+VLOOKUP(tbl_registro[[#This Row],[Patente]],Pivot_Equipos!$A$1:$E$39,3,FALSE)</f>
        <v>#N/A</v>
      </c>
      <c r="F185" s="2" t="e">
        <f>+VLOOKUP(tbl_registro[[#This Row],[Tipo Equipo]],Pivot_Equipos!$C$1:$E$39,2,FALSE)</f>
        <v>#N/A</v>
      </c>
      <c r="J185" s="2">
        <f t="shared" si="3"/>
        <v>0</v>
      </c>
    </row>
    <row r="186" spans="1:10" x14ac:dyDescent="0.3">
      <c r="A186" s="2"/>
      <c r="C186" s="1"/>
      <c r="D186" s="1"/>
      <c r="E186" t="e">
        <f>+VLOOKUP(tbl_registro[[#This Row],[Patente]],Pivot_Equipos!$A$1:$E$39,3,FALSE)</f>
        <v>#N/A</v>
      </c>
      <c r="F186" s="2" t="e">
        <f>+VLOOKUP(tbl_registro[[#This Row],[Tipo Equipo]],Pivot_Equipos!$C$1:$E$39,2,FALSE)</f>
        <v>#N/A</v>
      </c>
      <c r="J186" s="2">
        <f t="shared" si="3"/>
        <v>0</v>
      </c>
    </row>
    <row r="187" spans="1:10" x14ac:dyDescent="0.3">
      <c r="A187" s="2"/>
      <c r="C187" s="1"/>
      <c r="D187" s="1"/>
      <c r="E187" t="e">
        <f>+VLOOKUP(tbl_registro[[#This Row],[Patente]],Pivot_Equipos!$A$1:$E$39,3,FALSE)</f>
        <v>#N/A</v>
      </c>
      <c r="F187" s="2" t="e">
        <f>+VLOOKUP(tbl_registro[[#This Row],[Tipo Equipo]],Pivot_Equipos!$C$1:$E$39,2,FALSE)</f>
        <v>#N/A</v>
      </c>
      <c r="J187" s="2">
        <f t="shared" si="3"/>
        <v>0</v>
      </c>
    </row>
    <row r="188" spans="1:10" x14ac:dyDescent="0.3">
      <c r="A188" s="2"/>
      <c r="C188" s="1"/>
      <c r="D188" s="1"/>
      <c r="E188" t="e">
        <f>+VLOOKUP(tbl_registro[[#This Row],[Patente]],Pivot_Equipos!$A$1:$E$39,3,FALSE)</f>
        <v>#N/A</v>
      </c>
      <c r="F188" s="2" t="e">
        <f>+VLOOKUP(tbl_registro[[#This Row],[Tipo Equipo]],Pivot_Equipos!$C$1:$E$39,2,FALSE)</f>
        <v>#N/A</v>
      </c>
      <c r="J188" s="2">
        <f t="shared" si="3"/>
        <v>0</v>
      </c>
    </row>
    <row r="189" spans="1:10" x14ac:dyDescent="0.3">
      <c r="A189" s="2"/>
      <c r="C189" s="1"/>
      <c r="D189" s="1"/>
      <c r="E189" t="e">
        <f>+VLOOKUP(tbl_registro[[#This Row],[Patente]],Pivot_Equipos!$A$1:$E$39,3,FALSE)</f>
        <v>#N/A</v>
      </c>
      <c r="F189" s="2" t="e">
        <f>+VLOOKUP(tbl_registro[[#This Row],[Tipo Equipo]],Pivot_Equipos!$C$1:$E$39,2,FALSE)</f>
        <v>#N/A</v>
      </c>
      <c r="J189" s="2">
        <f t="shared" si="3"/>
        <v>0</v>
      </c>
    </row>
    <row r="190" spans="1:10" x14ac:dyDescent="0.3">
      <c r="A190" s="2"/>
      <c r="C190" s="1"/>
      <c r="D190" s="1"/>
      <c r="E190" t="e">
        <f>+VLOOKUP(tbl_registro[[#This Row],[Patente]],Pivot_Equipos!$A$1:$E$39,3,FALSE)</f>
        <v>#N/A</v>
      </c>
      <c r="F190" s="2" t="e">
        <f>+VLOOKUP(tbl_registro[[#This Row],[Tipo Equipo]],Pivot_Equipos!$C$1:$E$39,2,FALSE)</f>
        <v>#N/A</v>
      </c>
      <c r="J190" s="2">
        <f t="shared" si="3"/>
        <v>0</v>
      </c>
    </row>
    <row r="191" spans="1:10" x14ac:dyDescent="0.3">
      <c r="A191" s="2"/>
      <c r="C191" s="1"/>
      <c r="D191" s="1"/>
      <c r="E191" t="e">
        <f>+VLOOKUP(tbl_registro[[#This Row],[Patente]],Pivot_Equipos!$A$1:$E$39,3,FALSE)</f>
        <v>#N/A</v>
      </c>
      <c r="F191" s="2" t="e">
        <f>+VLOOKUP(tbl_registro[[#This Row],[Tipo Equipo]],Pivot_Equipos!$C$1:$E$39,2,FALSE)</f>
        <v>#N/A</v>
      </c>
      <c r="J191" s="2">
        <f t="shared" si="3"/>
        <v>0</v>
      </c>
    </row>
    <row r="192" spans="1:10" x14ac:dyDescent="0.3">
      <c r="A192" s="2"/>
      <c r="C192" s="1"/>
      <c r="D192" s="1"/>
      <c r="E192" t="e">
        <f>+VLOOKUP(tbl_registro[[#This Row],[Patente]],Pivot_Equipos!$A$1:$E$39,3,FALSE)</f>
        <v>#N/A</v>
      </c>
      <c r="F192" s="2" t="e">
        <f>+VLOOKUP(tbl_registro[[#This Row],[Tipo Equipo]],Pivot_Equipos!$C$1:$E$39,2,FALSE)</f>
        <v>#N/A</v>
      </c>
      <c r="J192" s="2">
        <f t="shared" si="3"/>
        <v>0</v>
      </c>
    </row>
    <row r="193" spans="1:10" x14ac:dyDescent="0.3">
      <c r="A193" s="2"/>
      <c r="C193" s="1"/>
      <c r="D193" s="1"/>
      <c r="E193" t="e">
        <f>+VLOOKUP(tbl_registro[[#This Row],[Patente]],Pivot_Equipos!$A$1:$E$39,3,FALSE)</f>
        <v>#N/A</v>
      </c>
      <c r="F193" s="2" t="e">
        <f>+VLOOKUP(tbl_registro[[#This Row],[Tipo Equipo]],Pivot_Equipos!$C$1:$E$39,2,FALSE)</f>
        <v>#N/A</v>
      </c>
      <c r="J193" s="2">
        <f t="shared" si="3"/>
        <v>0</v>
      </c>
    </row>
    <row r="194" spans="1:10" x14ac:dyDescent="0.3">
      <c r="A194" s="2"/>
      <c r="C194" s="1"/>
      <c r="D194" s="1"/>
      <c r="E194" t="e">
        <f>+VLOOKUP(tbl_registro[[#This Row],[Patente]],Pivot_Equipos!$A$1:$E$39,3,FALSE)</f>
        <v>#N/A</v>
      </c>
      <c r="F194" s="2" t="e">
        <f>+VLOOKUP(tbl_registro[[#This Row],[Tipo Equipo]],Pivot_Equipos!$C$1:$E$39,2,FALSE)</f>
        <v>#N/A</v>
      </c>
      <c r="J194" s="2">
        <f t="shared" ref="J194:J257" si="4">I194-H194</f>
        <v>0</v>
      </c>
    </row>
    <row r="195" spans="1:10" x14ac:dyDescent="0.3">
      <c r="A195" s="2"/>
      <c r="C195" s="1"/>
      <c r="D195" s="1"/>
      <c r="E195" t="e">
        <f>+VLOOKUP(tbl_registro[[#This Row],[Patente]],Pivot_Equipos!$A$1:$E$39,3,FALSE)</f>
        <v>#N/A</v>
      </c>
      <c r="F195" s="2" t="e">
        <f>+VLOOKUP(tbl_registro[[#This Row],[Tipo Equipo]],Pivot_Equipos!$C$1:$E$39,2,FALSE)</f>
        <v>#N/A</v>
      </c>
      <c r="J195" s="2">
        <f t="shared" si="4"/>
        <v>0</v>
      </c>
    </row>
    <row r="196" spans="1:10" x14ac:dyDescent="0.3">
      <c r="A196" s="2"/>
      <c r="C196" s="1"/>
      <c r="D196" s="1"/>
      <c r="E196" t="e">
        <f>+VLOOKUP(tbl_registro[[#This Row],[Patente]],Pivot_Equipos!$A$1:$E$39,3,FALSE)</f>
        <v>#N/A</v>
      </c>
      <c r="F196" s="2" t="e">
        <f>+VLOOKUP(tbl_registro[[#This Row],[Tipo Equipo]],Pivot_Equipos!$C$1:$E$39,2,FALSE)</f>
        <v>#N/A</v>
      </c>
      <c r="J196" s="2">
        <f t="shared" si="4"/>
        <v>0</v>
      </c>
    </row>
    <row r="197" spans="1:10" x14ac:dyDescent="0.3">
      <c r="A197" s="2"/>
      <c r="C197" s="1"/>
      <c r="D197" s="1"/>
      <c r="E197" t="e">
        <f>+VLOOKUP(tbl_registro[[#This Row],[Patente]],Pivot_Equipos!$A$1:$E$39,3,FALSE)</f>
        <v>#N/A</v>
      </c>
      <c r="F197" s="2" t="e">
        <f>+VLOOKUP(tbl_registro[[#This Row],[Tipo Equipo]],Pivot_Equipos!$C$1:$E$39,2,FALSE)</f>
        <v>#N/A</v>
      </c>
      <c r="J197" s="2">
        <f t="shared" si="4"/>
        <v>0</v>
      </c>
    </row>
    <row r="198" spans="1:10" x14ac:dyDescent="0.3">
      <c r="A198" s="2"/>
      <c r="C198" s="1"/>
      <c r="D198" s="1"/>
      <c r="E198" t="e">
        <f>+VLOOKUP(tbl_registro[[#This Row],[Patente]],Pivot_Equipos!$A$1:$E$39,3,FALSE)</f>
        <v>#N/A</v>
      </c>
      <c r="F198" s="2" t="e">
        <f>+VLOOKUP(tbl_registro[[#This Row],[Tipo Equipo]],Pivot_Equipos!$C$1:$E$39,2,FALSE)</f>
        <v>#N/A</v>
      </c>
      <c r="J198" s="2">
        <f t="shared" si="4"/>
        <v>0</v>
      </c>
    </row>
    <row r="199" spans="1:10" x14ac:dyDescent="0.3">
      <c r="A199" s="2"/>
      <c r="C199" s="1"/>
      <c r="D199" s="1"/>
      <c r="E199" t="e">
        <f>+VLOOKUP(tbl_registro[[#This Row],[Patente]],Pivot_Equipos!$A$1:$E$39,3,FALSE)</f>
        <v>#N/A</v>
      </c>
      <c r="F199" s="2" t="e">
        <f>+VLOOKUP(tbl_registro[[#This Row],[Tipo Equipo]],Pivot_Equipos!$C$1:$E$39,2,FALSE)</f>
        <v>#N/A</v>
      </c>
      <c r="J199" s="2">
        <f t="shared" si="4"/>
        <v>0</v>
      </c>
    </row>
    <row r="200" spans="1:10" x14ac:dyDescent="0.3">
      <c r="A200" s="2"/>
      <c r="C200" s="1"/>
      <c r="D200" s="1"/>
      <c r="E200" t="e">
        <f>+VLOOKUP(tbl_registro[[#This Row],[Patente]],Pivot_Equipos!$A$1:$E$39,3,FALSE)</f>
        <v>#N/A</v>
      </c>
      <c r="F200" s="2" t="e">
        <f>+VLOOKUP(tbl_registro[[#This Row],[Tipo Equipo]],Pivot_Equipos!$C$1:$E$39,2,FALSE)</f>
        <v>#N/A</v>
      </c>
      <c r="J200" s="2">
        <f t="shared" si="4"/>
        <v>0</v>
      </c>
    </row>
    <row r="201" spans="1:10" x14ac:dyDescent="0.3">
      <c r="A201" s="2"/>
      <c r="C201" s="1"/>
      <c r="D201" s="1"/>
      <c r="E201" t="e">
        <f>+VLOOKUP(tbl_registro[[#This Row],[Patente]],Pivot_Equipos!$A$1:$E$39,3,FALSE)</f>
        <v>#N/A</v>
      </c>
      <c r="F201" s="2" t="e">
        <f>+VLOOKUP(tbl_registro[[#This Row],[Tipo Equipo]],Pivot_Equipos!$C$1:$E$39,2,FALSE)</f>
        <v>#N/A</v>
      </c>
      <c r="J201" s="2">
        <f t="shared" si="4"/>
        <v>0</v>
      </c>
    </row>
    <row r="202" spans="1:10" x14ac:dyDescent="0.3">
      <c r="A202" s="2"/>
      <c r="C202" s="1"/>
      <c r="D202" s="1"/>
      <c r="E202" t="e">
        <f>+VLOOKUP(tbl_registro[[#This Row],[Patente]],Pivot_Equipos!$A$1:$E$39,3,FALSE)</f>
        <v>#N/A</v>
      </c>
      <c r="F202" s="2" t="e">
        <f>+VLOOKUP(tbl_registro[[#This Row],[Tipo Equipo]],Pivot_Equipos!$C$1:$E$39,2,FALSE)</f>
        <v>#N/A</v>
      </c>
      <c r="J202" s="2">
        <f t="shared" si="4"/>
        <v>0</v>
      </c>
    </row>
    <row r="203" spans="1:10" x14ac:dyDescent="0.3">
      <c r="A203" s="2"/>
      <c r="C203" s="1"/>
      <c r="D203" s="1"/>
      <c r="E203" t="e">
        <f>+VLOOKUP(tbl_registro[[#This Row],[Patente]],Pivot_Equipos!$A$1:$E$39,3,FALSE)</f>
        <v>#N/A</v>
      </c>
      <c r="F203" s="2" t="e">
        <f>+VLOOKUP(tbl_registro[[#This Row],[Tipo Equipo]],Pivot_Equipos!$C$1:$E$39,2,FALSE)</f>
        <v>#N/A</v>
      </c>
      <c r="J203" s="2">
        <f t="shared" si="4"/>
        <v>0</v>
      </c>
    </row>
    <row r="204" spans="1:10" x14ac:dyDescent="0.3">
      <c r="A204" s="2"/>
      <c r="C204" s="1"/>
      <c r="D204" s="1"/>
      <c r="E204" t="e">
        <f>+VLOOKUP(tbl_registro[[#This Row],[Patente]],Pivot_Equipos!$A$1:$E$39,3,FALSE)</f>
        <v>#N/A</v>
      </c>
      <c r="F204" s="2" t="e">
        <f>+VLOOKUP(tbl_registro[[#This Row],[Tipo Equipo]],Pivot_Equipos!$C$1:$E$39,2,FALSE)</f>
        <v>#N/A</v>
      </c>
      <c r="J204" s="2">
        <f t="shared" si="4"/>
        <v>0</v>
      </c>
    </row>
    <row r="205" spans="1:10" x14ac:dyDescent="0.3">
      <c r="A205" s="2"/>
      <c r="C205" s="1"/>
      <c r="D205" s="1"/>
      <c r="E205" t="e">
        <f>+VLOOKUP(tbl_registro[[#This Row],[Patente]],Pivot_Equipos!$A$1:$E$39,3,FALSE)</f>
        <v>#N/A</v>
      </c>
      <c r="F205" s="2" t="e">
        <f>+VLOOKUP(tbl_registro[[#This Row],[Tipo Equipo]],Pivot_Equipos!$C$1:$E$39,2,FALSE)</f>
        <v>#N/A</v>
      </c>
      <c r="J205" s="2">
        <f t="shared" si="4"/>
        <v>0</v>
      </c>
    </row>
    <row r="206" spans="1:10" x14ac:dyDescent="0.3">
      <c r="A206" s="2"/>
      <c r="C206" s="1"/>
      <c r="D206" s="1"/>
      <c r="E206" t="e">
        <f>+VLOOKUP(tbl_registro[[#This Row],[Patente]],Pivot_Equipos!$A$1:$E$39,3,FALSE)</f>
        <v>#N/A</v>
      </c>
      <c r="F206" s="2" t="e">
        <f>+VLOOKUP(tbl_registro[[#This Row],[Tipo Equipo]],Pivot_Equipos!$C$1:$E$39,2,FALSE)</f>
        <v>#N/A</v>
      </c>
      <c r="J206" s="2">
        <f t="shared" si="4"/>
        <v>0</v>
      </c>
    </row>
    <row r="207" spans="1:10" x14ac:dyDescent="0.3">
      <c r="A207" s="2"/>
      <c r="C207" s="1"/>
      <c r="D207" s="1"/>
      <c r="E207" t="e">
        <f>+VLOOKUP(tbl_registro[[#This Row],[Patente]],Pivot_Equipos!$A$1:$E$39,3,FALSE)</f>
        <v>#N/A</v>
      </c>
      <c r="F207" s="2" t="e">
        <f>+VLOOKUP(tbl_registro[[#This Row],[Tipo Equipo]],Pivot_Equipos!$C$1:$E$39,2,FALSE)</f>
        <v>#N/A</v>
      </c>
      <c r="J207" s="2">
        <f t="shared" si="4"/>
        <v>0</v>
      </c>
    </row>
    <row r="208" spans="1:10" x14ac:dyDescent="0.3">
      <c r="A208" s="2"/>
      <c r="C208" s="1"/>
      <c r="D208" s="1"/>
      <c r="E208" t="e">
        <f>+VLOOKUP(tbl_registro[[#This Row],[Patente]],Pivot_Equipos!$A$1:$E$39,3,FALSE)</f>
        <v>#N/A</v>
      </c>
      <c r="F208" s="2" t="e">
        <f>+VLOOKUP(tbl_registro[[#This Row],[Tipo Equipo]],Pivot_Equipos!$C$1:$E$39,2,FALSE)</f>
        <v>#N/A</v>
      </c>
      <c r="J208" s="2">
        <f t="shared" si="4"/>
        <v>0</v>
      </c>
    </row>
    <row r="209" spans="1:10" x14ac:dyDescent="0.3">
      <c r="A209" s="2"/>
      <c r="C209" s="1"/>
      <c r="D209" s="1"/>
      <c r="E209" t="e">
        <f>+VLOOKUP(tbl_registro[[#This Row],[Patente]],Pivot_Equipos!$A$1:$E$39,3,FALSE)</f>
        <v>#N/A</v>
      </c>
      <c r="F209" s="2" t="e">
        <f>+VLOOKUP(tbl_registro[[#This Row],[Tipo Equipo]],Pivot_Equipos!$C$1:$E$39,2,FALSE)</f>
        <v>#N/A</v>
      </c>
      <c r="J209" s="2">
        <f t="shared" si="4"/>
        <v>0</v>
      </c>
    </row>
    <row r="210" spans="1:10" x14ac:dyDescent="0.3">
      <c r="A210" s="2"/>
      <c r="C210" s="1"/>
      <c r="D210" s="1"/>
      <c r="E210" t="e">
        <f>+VLOOKUP(tbl_registro[[#This Row],[Patente]],Pivot_Equipos!$A$1:$E$39,3,FALSE)</f>
        <v>#N/A</v>
      </c>
      <c r="F210" s="2" t="e">
        <f>+VLOOKUP(tbl_registro[[#This Row],[Tipo Equipo]],Pivot_Equipos!$C$1:$E$39,2,FALSE)</f>
        <v>#N/A</v>
      </c>
      <c r="J210" s="2">
        <f t="shared" si="4"/>
        <v>0</v>
      </c>
    </row>
    <row r="211" spans="1:10" x14ac:dyDescent="0.3">
      <c r="A211" s="2"/>
      <c r="C211" s="1"/>
      <c r="D211" s="1"/>
      <c r="E211" t="e">
        <f>+VLOOKUP(tbl_registro[[#This Row],[Patente]],Pivot_Equipos!$A$1:$E$39,3,FALSE)</f>
        <v>#N/A</v>
      </c>
      <c r="F211" s="2" t="e">
        <f>+VLOOKUP(tbl_registro[[#This Row],[Tipo Equipo]],Pivot_Equipos!$C$1:$E$39,2,FALSE)</f>
        <v>#N/A</v>
      </c>
      <c r="J211" s="2">
        <f t="shared" si="4"/>
        <v>0</v>
      </c>
    </row>
    <row r="212" spans="1:10" x14ac:dyDescent="0.3">
      <c r="A212" s="2"/>
      <c r="C212" s="1"/>
      <c r="D212" s="1"/>
      <c r="E212" t="e">
        <f>+VLOOKUP(tbl_registro[[#This Row],[Patente]],Pivot_Equipos!$A$1:$E$39,3,FALSE)</f>
        <v>#N/A</v>
      </c>
      <c r="F212" s="2" t="e">
        <f>+VLOOKUP(tbl_registro[[#This Row],[Tipo Equipo]],Pivot_Equipos!$C$1:$E$39,2,FALSE)</f>
        <v>#N/A</v>
      </c>
      <c r="J212" s="2">
        <f t="shared" si="4"/>
        <v>0</v>
      </c>
    </row>
    <row r="213" spans="1:10" x14ac:dyDescent="0.3">
      <c r="A213" s="2"/>
      <c r="C213" s="1"/>
      <c r="D213" s="1"/>
      <c r="E213" t="e">
        <f>+VLOOKUP(tbl_registro[[#This Row],[Patente]],Pivot_Equipos!$A$1:$E$39,3,FALSE)</f>
        <v>#N/A</v>
      </c>
      <c r="F213" s="2" t="e">
        <f>+VLOOKUP(tbl_registro[[#This Row],[Tipo Equipo]],Pivot_Equipos!$C$1:$E$39,2,FALSE)</f>
        <v>#N/A</v>
      </c>
      <c r="J213" s="2">
        <f t="shared" si="4"/>
        <v>0</v>
      </c>
    </row>
    <row r="214" spans="1:10" x14ac:dyDescent="0.3">
      <c r="A214" s="2"/>
      <c r="C214" s="1"/>
      <c r="D214" s="1"/>
      <c r="E214" t="e">
        <f>+VLOOKUP(tbl_registro[[#This Row],[Patente]],Pivot_Equipos!$A$1:$E$39,3,FALSE)</f>
        <v>#N/A</v>
      </c>
      <c r="F214" s="2" t="e">
        <f>+VLOOKUP(tbl_registro[[#This Row],[Tipo Equipo]],Pivot_Equipos!$C$1:$E$39,2,FALSE)</f>
        <v>#N/A</v>
      </c>
      <c r="J214" s="2">
        <f t="shared" si="4"/>
        <v>0</v>
      </c>
    </row>
    <row r="215" spans="1:10" x14ac:dyDescent="0.3">
      <c r="A215" s="2"/>
      <c r="C215" s="1"/>
      <c r="D215" s="1"/>
      <c r="E215" t="e">
        <f>+VLOOKUP(tbl_registro[[#This Row],[Patente]],Pivot_Equipos!$A$1:$E$39,3,FALSE)</f>
        <v>#N/A</v>
      </c>
      <c r="F215" s="2" t="e">
        <f>+VLOOKUP(tbl_registro[[#This Row],[Tipo Equipo]],Pivot_Equipos!$C$1:$E$39,2,FALSE)</f>
        <v>#N/A</v>
      </c>
      <c r="J215" s="2">
        <f t="shared" si="4"/>
        <v>0</v>
      </c>
    </row>
    <row r="216" spans="1:10" x14ac:dyDescent="0.3">
      <c r="A216" s="2"/>
      <c r="C216" s="1"/>
      <c r="D216" s="1"/>
      <c r="E216" t="e">
        <f>+VLOOKUP(tbl_registro[[#This Row],[Patente]],Pivot_Equipos!$A$1:$E$39,3,FALSE)</f>
        <v>#N/A</v>
      </c>
      <c r="F216" s="2" t="e">
        <f>+VLOOKUP(tbl_registro[[#This Row],[Tipo Equipo]],Pivot_Equipos!$C$1:$E$39,2,FALSE)</f>
        <v>#N/A</v>
      </c>
      <c r="J216" s="2">
        <f t="shared" si="4"/>
        <v>0</v>
      </c>
    </row>
    <row r="217" spans="1:10" x14ac:dyDescent="0.3">
      <c r="A217" s="2"/>
      <c r="C217" s="1"/>
      <c r="D217" s="1"/>
      <c r="E217" t="e">
        <f>+VLOOKUP(tbl_registro[[#This Row],[Patente]],Pivot_Equipos!$A$1:$E$39,3,FALSE)</f>
        <v>#N/A</v>
      </c>
      <c r="F217" s="2" t="e">
        <f>+VLOOKUP(tbl_registro[[#This Row],[Tipo Equipo]],Pivot_Equipos!$C$1:$E$39,2,FALSE)</f>
        <v>#N/A</v>
      </c>
      <c r="J217" s="2">
        <f t="shared" si="4"/>
        <v>0</v>
      </c>
    </row>
    <row r="218" spans="1:10" x14ac:dyDescent="0.3">
      <c r="A218" s="2"/>
      <c r="C218" s="1"/>
      <c r="D218" s="1"/>
      <c r="E218" t="e">
        <f>+VLOOKUP(tbl_registro[[#This Row],[Patente]],Pivot_Equipos!$A$1:$E$39,3,FALSE)</f>
        <v>#N/A</v>
      </c>
      <c r="F218" s="2" t="e">
        <f>+VLOOKUP(tbl_registro[[#This Row],[Tipo Equipo]],Pivot_Equipos!$C$1:$E$39,2,FALSE)</f>
        <v>#N/A</v>
      </c>
      <c r="J218" s="2">
        <f t="shared" si="4"/>
        <v>0</v>
      </c>
    </row>
    <row r="219" spans="1:10" x14ac:dyDescent="0.3">
      <c r="A219" s="2"/>
      <c r="C219" s="1"/>
      <c r="D219" s="1"/>
      <c r="E219" t="e">
        <f>+VLOOKUP(tbl_registro[[#This Row],[Patente]],Pivot_Equipos!$A$1:$E$39,3,FALSE)</f>
        <v>#N/A</v>
      </c>
      <c r="F219" s="2" t="e">
        <f>+VLOOKUP(tbl_registro[[#This Row],[Tipo Equipo]],Pivot_Equipos!$C$1:$E$39,2,FALSE)</f>
        <v>#N/A</v>
      </c>
      <c r="J219" s="2">
        <f t="shared" si="4"/>
        <v>0</v>
      </c>
    </row>
    <row r="220" spans="1:10" x14ac:dyDescent="0.3">
      <c r="A220" s="2"/>
      <c r="C220" s="1"/>
      <c r="D220" s="1"/>
      <c r="E220" t="e">
        <f>+VLOOKUP(tbl_registro[[#This Row],[Patente]],Pivot_Equipos!$A$1:$E$39,3,FALSE)</f>
        <v>#N/A</v>
      </c>
      <c r="F220" s="2" t="e">
        <f>+VLOOKUP(tbl_registro[[#This Row],[Tipo Equipo]],Pivot_Equipos!$C$1:$E$39,2,FALSE)</f>
        <v>#N/A</v>
      </c>
      <c r="J220" s="2">
        <f t="shared" si="4"/>
        <v>0</v>
      </c>
    </row>
    <row r="221" spans="1:10" x14ac:dyDescent="0.3">
      <c r="A221" s="2"/>
      <c r="C221" s="1"/>
      <c r="D221" s="1"/>
      <c r="E221" t="e">
        <f>+VLOOKUP(tbl_registro[[#This Row],[Patente]],Pivot_Equipos!$A$1:$E$39,3,FALSE)</f>
        <v>#N/A</v>
      </c>
      <c r="F221" s="2" t="e">
        <f>+VLOOKUP(tbl_registro[[#This Row],[Tipo Equipo]],Pivot_Equipos!$C$1:$E$39,2,FALSE)</f>
        <v>#N/A</v>
      </c>
      <c r="J221" s="2">
        <f t="shared" si="4"/>
        <v>0</v>
      </c>
    </row>
    <row r="222" spans="1:10" x14ac:dyDescent="0.3">
      <c r="A222" s="2"/>
      <c r="C222" s="1"/>
      <c r="D222" s="1"/>
      <c r="E222" t="e">
        <f>+VLOOKUP(tbl_registro[[#This Row],[Patente]],Pivot_Equipos!$A$1:$E$39,3,FALSE)</f>
        <v>#N/A</v>
      </c>
      <c r="F222" s="2" t="e">
        <f>+VLOOKUP(tbl_registro[[#This Row],[Tipo Equipo]],Pivot_Equipos!$C$1:$E$39,2,FALSE)</f>
        <v>#N/A</v>
      </c>
      <c r="J222" s="2">
        <f t="shared" si="4"/>
        <v>0</v>
      </c>
    </row>
    <row r="223" spans="1:10" x14ac:dyDescent="0.3">
      <c r="A223" s="2"/>
      <c r="C223" s="1"/>
      <c r="D223" s="1"/>
      <c r="E223" t="e">
        <f>+VLOOKUP(tbl_registro[[#This Row],[Patente]],Pivot_Equipos!$A$1:$E$39,3,FALSE)</f>
        <v>#N/A</v>
      </c>
      <c r="F223" s="2" t="e">
        <f>+VLOOKUP(tbl_registro[[#This Row],[Tipo Equipo]],Pivot_Equipos!$C$1:$E$39,2,FALSE)</f>
        <v>#N/A</v>
      </c>
      <c r="J223" s="2">
        <f t="shared" si="4"/>
        <v>0</v>
      </c>
    </row>
    <row r="224" spans="1:10" x14ac:dyDescent="0.3">
      <c r="A224" s="2"/>
      <c r="C224" s="1"/>
      <c r="D224" s="1"/>
      <c r="E224" t="e">
        <f>+VLOOKUP(tbl_registro[[#This Row],[Patente]],Pivot_Equipos!$A$1:$E$39,3,FALSE)</f>
        <v>#N/A</v>
      </c>
      <c r="F224" s="2" t="e">
        <f>+VLOOKUP(tbl_registro[[#This Row],[Tipo Equipo]],Pivot_Equipos!$C$1:$E$39,2,FALSE)</f>
        <v>#N/A</v>
      </c>
      <c r="J224" s="2">
        <f t="shared" si="4"/>
        <v>0</v>
      </c>
    </row>
    <row r="225" spans="1:10" x14ac:dyDescent="0.3">
      <c r="A225" s="2"/>
      <c r="C225" s="1"/>
      <c r="D225" s="1"/>
      <c r="E225" t="e">
        <f>+VLOOKUP(tbl_registro[[#This Row],[Patente]],Pivot_Equipos!$A$1:$E$39,3,FALSE)</f>
        <v>#N/A</v>
      </c>
      <c r="F225" s="2" t="e">
        <f>+VLOOKUP(tbl_registro[[#This Row],[Tipo Equipo]],Pivot_Equipos!$C$1:$E$39,2,FALSE)</f>
        <v>#N/A</v>
      </c>
      <c r="J225" s="2">
        <f t="shared" si="4"/>
        <v>0</v>
      </c>
    </row>
    <row r="226" spans="1:10" x14ac:dyDescent="0.3">
      <c r="A226" s="2"/>
      <c r="C226" s="1"/>
      <c r="D226" s="1"/>
      <c r="E226" t="e">
        <f>+VLOOKUP(tbl_registro[[#This Row],[Patente]],Pivot_Equipos!$A$1:$E$39,3,FALSE)</f>
        <v>#N/A</v>
      </c>
      <c r="F226" s="2" t="e">
        <f>+VLOOKUP(tbl_registro[[#This Row],[Tipo Equipo]],Pivot_Equipos!$C$1:$E$39,2,FALSE)</f>
        <v>#N/A</v>
      </c>
      <c r="J226" s="2">
        <f t="shared" si="4"/>
        <v>0</v>
      </c>
    </row>
    <row r="227" spans="1:10" x14ac:dyDescent="0.3">
      <c r="A227" s="2"/>
      <c r="C227" s="1"/>
      <c r="D227" s="1"/>
      <c r="E227" t="e">
        <f>+VLOOKUP(tbl_registro[[#This Row],[Patente]],Pivot_Equipos!$A$1:$E$39,3,FALSE)</f>
        <v>#N/A</v>
      </c>
      <c r="F227" s="2" t="e">
        <f>+VLOOKUP(tbl_registro[[#This Row],[Tipo Equipo]],Pivot_Equipos!$C$1:$E$39,2,FALSE)</f>
        <v>#N/A</v>
      </c>
      <c r="J227" s="2">
        <f t="shared" si="4"/>
        <v>0</v>
      </c>
    </row>
    <row r="228" spans="1:10" x14ac:dyDescent="0.3">
      <c r="A228" s="2"/>
      <c r="C228" s="1"/>
      <c r="D228" s="1"/>
      <c r="E228" t="e">
        <f>+VLOOKUP(tbl_registro[[#This Row],[Patente]],Pivot_Equipos!$A$1:$E$39,3,FALSE)</f>
        <v>#N/A</v>
      </c>
      <c r="F228" s="2" t="e">
        <f>+VLOOKUP(tbl_registro[[#This Row],[Tipo Equipo]],Pivot_Equipos!$C$1:$E$39,2,FALSE)</f>
        <v>#N/A</v>
      </c>
      <c r="J228" s="2">
        <f t="shared" si="4"/>
        <v>0</v>
      </c>
    </row>
    <row r="229" spans="1:10" x14ac:dyDescent="0.3">
      <c r="A229" s="2"/>
      <c r="C229" s="1"/>
      <c r="D229" s="1"/>
      <c r="E229" t="e">
        <f>+VLOOKUP(tbl_registro[[#This Row],[Patente]],Pivot_Equipos!$A$1:$E$39,3,FALSE)</f>
        <v>#N/A</v>
      </c>
      <c r="F229" s="2" t="e">
        <f>+VLOOKUP(tbl_registro[[#This Row],[Tipo Equipo]],Pivot_Equipos!$C$1:$E$39,2,FALSE)</f>
        <v>#N/A</v>
      </c>
      <c r="J229" s="2">
        <f t="shared" si="4"/>
        <v>0</v>
      </c>
    </row>
    <row r="230" spans="1:10" x14ac:dyDescent="0.3">
      <c r="A230" s="2"/>
      <c r="C230" s="1"/>
      <c r="D230" s="1"/>
      <c r="E230" t="e">
        <f>+VLOOKUP(tbl_registro[[#This Row],[Patente]],Pivot_Equipos!$A$1:$E$39,3,FALSE)</f>
        <v>#N/A</v>
      </c>
      <c r="F230" s="2" t="e">
        <f>+VLOOKUP(tbl_registro[[#This Row],[Tipo Equipo]],Pivot_Equipos!$C$1:$E$39,2,FALSE)</f>
        <v>#N/A</v>
      </c>
      <c r="J230" s="2">
        <f t="shared" si="4"/>
        <v>0</v>
      </c>
    </row>
    <row r="231" spans="1:10" x14ac:dyDescent="0.3">
      <c r="A231" s="2"/>
      <c r="C231" s="1"/>
      <c r="D231" s="1"/>
      <c r="E231" t="e">
        <f>+VLOOKUP(tbl_registro[[#This Row],[Patente]],Pivot_Equipos!$A$1:$E$39,3,FALSE)</f>
        <v>#N/A</v>
      </c>
      <c r="F231" s="2" t="e">
        <f>+VLOOKUP(tbl_registro[[#This Row],[Tipo Equipo]],Pivot_Equipos!$C$1:$E$39,2,FALSE)</f>
        <v>#N/A</v>
      </c>
      <c r="J231" s="2">
        <f t="shared" si="4"/>
        <v>0</v>
      </c>
    </row>
    <row r="232" spans="1:10" x14ac:dyDescent="0.3">
      <c r="A232" s="2"/>
      <c r="C232" s="1"/>
      <c r="D232" s="1"/>
      <c r="E232" t="e">
        <f>+VLOOKUP(tbl_registro[[#This Row],[Patente]],Pivot_Equipos!$A$1:$E$39,3,FALSE)</f>
        <v>#N/A</v>
      </c>
      <c r="F232" s="2" t="e">
        <f>+VLOOKUP(tbl_registro[[#This Row],[Tipo Equipo]],Pivot_Equipos!$C$1:$E$39,2,FALSE)</f>
        <v>#N/A</v>
      </c>
      <c r="J232" s="2">
        <f t="shared" si="4"/>
        <v>0</v>
      </c>
    </row>
    <row r="233" spans="1:10" x14ac:dyDescent="0.3">
      <c r="A233" s="2"/>
      <c r="C233" s="1"/>
      <c r="D233" s="1"/>
      <c r="E233" t="e">
        <f>+VLOOKUP(tbl_registro[[#This Row],[Patente]],Pivot_Equipos!$A$1:$E$39,3,FALSE)</f>
        <v>#N/A</v>
      </c>
      <c r="F233" s="2" t="e">
        <f>+VLOOKUP(tbl_registro[[#This Row],[Tipo Equipo]],Pivot_Equipos!$C$1:$E$39,2,FALSE)</f>
        <v>#N/A</v>
      </c>
      <c r="J233" s="2">
        <f t="shared" si="4"/>
        <v>0</v>
      </c>
    </row>
    <row r="234" spans="1:10" x14ac:dyDescent="0.3">
      <c r="A234" s="2"/>
      <c r="C234" s="1"/>
      <c r="D234" s="1"/>
      <c r="E234" t="e">
        <f>+VLOOKUP(tbl_registro[[#This Row],[Patente]],Pivot_Equipos!$A$1:$E$39,3,FALSE)</f>
        <v>#N/A</v>
      </c>
      <c r="F234" s="2" t="e">
        <f>+VLOOKUP(tbl_registro[[#This Row],[Tipo Equipo]],Pivot_Equipos!$C$1:$E$39,2,FALSE)</f>
        <v>#N/A</v>
      </c>
      <c r="J234" s="2">
        <f t="shared" si="4"/>
        <v>0</v>
      </c>
    </row>
    <row r="235" spans="1:10" x14ac:dyDescent="0.3">
      <c r="A235" s="2"/>
      <c r="C235" s="1"/>
      <c r="D235" s="1"/>
      <c r="E235" t="e">
        <f>+VLOOKUP(tbl_registro[[#This Row],[Patente]],Pivot_Equipos!$A$1:$E$39,3,FALSE)</f>
        <v>#N/A</v>
      </c>
      <c r="F235" s="2" t="e">
        <f>+VLOOKUP(tbl_registro[[#This Row],[Tipo Equipo]],Pivot_Equipos!$C$1:$E$39,2,FALSE)</f>
        <v>#N/A</v>
      </c>
      <c r="J235" s="2">
        <f t="shared" si="4"/>
        <v>0</v>
      </c>
    </row>
    <row r="236" spans="1:10" x14ac:dyDescent="0.3">
      <c r="A236" s="2"/>
      <c r="C236" s="1"/>
      <c r="D236" s="1"/>
      <c r="E236" t="e">
        <f>+VLOOKUP(tbl_registro[[#This Row],[Patente]],Pivot_Equipos!$A$1:$E$39,3,FALSE)</f>
        <v>#N/A</v>
      </c>
      <c r="F236" s="2" t="e">
        <f>+VLOOKUP(tbl_registro[[#This Row],[Tipo Equipo]],Pivot_Equipos!$C$1:$E$39,2,FALSE)</f>
        <v>#N/A</v>
      </c>
      <c r="J236" s="2">
        <f t="shared" si="4"/>
        <v>0</v>
      </c>
    </row>
    <row r="237" spans="1:10" x14ac:dyDescent="0.3">
      <c r="A237" s="2"/>
      <c r="C237" s="1"/>
      <c r="D237" s="1"/>
      <c r="E237" t="e">
        <f>+VLOOKUP(tbl_registro[[#This Row],[Patente]],Pivot_Equipos!$A$1:$E$39,3,FALSE)</f>
        <v>#N/A</v>
      </c>
      <c r="F237" s="2" t="e">
        <f>+VLOOKUP(tbl_registro[[#This Row],[Tipo Equipo]],Pivot_Equipos!$C$1:$E$39,2,FALSE)</f>
        <v>#N/A</v>
      </c>
      <c r="J237" s="2">
        <f t="shared" si="4"/>
        <v>0</v>
      </c>
    </row>
    <row r="238" spans="1:10" x14ac:dyDescent="0.3">
      <c r="A238" s="2"/>
      <c r="C238" s="1"/>
      <c r="D238" s="1"/>
      <c r="E238" t="e">
        <f>+VLOOKUP(tbl_registro[[#This Row],[Patente]],Pivot_Equipos!$A$1:$E$39,3,FALSE)</f>
        <v>#N/A</v>
      </c>
      <c r="F238" s="2" t="e">
        <f>+VLOOKUP(tbl_registro[[#This Row],[Tipo Equipo]],Pivot_Equipos!$C$1:$E$39,2,FALSE)</f>
        <v>#N/A</v>
      </c>
      <c r="J238" s="2">
        <f t="shared" si="4"/>
        <v>0</v>
      </c>
    </row>
    <row r="239" spans="1:10" x14ac:dyDescent="0.3">
      <c r="A239" s="2"/>
      <c r="C239" s="1"/>
      <c r="D239" s="1"/>
      <c r="E239" t="e">
        <f>+VLOOKUP(tbl_registro[[#This Row],[Patente]],Pivot_Equipos!$A$1:$E$39,3,FALSE)</f>
        <v>#N/A</v>
      </c>
      <c r="F239" s="2" t="e">
        <f>+VLOOKUP(tbl_registro[[#This Row],[Tipo Equipo]],Pivot_Equipos!$C$1:$E$39,2,FALSE)</f>
        <v>#N/A</v>
      </c>
      <c r="J239" s="2">
        <f t="shared" si="4"/>
        <v>0</v>
      </c>
    </row>
    <row r="240" spans="1:10" x14ac:dyDescent="0.3">
      <c r="A240" s="2"/>
      <c r="C240" s="1"/>
      <c r="D240" s="1"/>
      <c r="E240" t="e">
        <f>+VLOOKUP(tbl_registro[[#This Row],[Patente]],Pivot_Equipos!$A$1:$E$39,3,FALSE)</f>
        <v>#N/A</v>
      </c>
      <c r="F240" s="2" t="e">
        <f>+VLOOKUP(tbl_registro[[#This Row],[Tipo Equipo]],Pivot_Equipos!$C$1:$E$39,2,FALSE)</f>
        <v>#N/A</v>
      </c>
      <c r="J240" s="2">
        <f t="shared" si="4"/>
        <v>0</v>
      </c>
    </row>
    <row r="241" spans="1:10" x14ac:dyDescent="0.3">
      <c r="A241" s="2"/>
      <c r="C241" s="1"/>
      <c r="D241" s="1"/>
      <c r="E241" t="e">
        <f>+VLOOKUP(tbl_registro[[#This Row],[Patente]],Pivot_Equipos!$A$1:$E$39,3,FALSE)</f>
        <v>#N/A</v>
      </c>
      <c r="F241" s="2" t="e">
        <f>+VLOOKUP(tbl_registro[[#This Row],[Tipo Equipo]],Pivot_Equipos!$C$1:$E$39,2,FALSE)</f>
        <v>#N/A</v>
      </c>
      <c r="J241" s="2">
        <f t="shared" si="4"/>
        <v>0</v>
      </c>
    </row>
    <row r="242" spans="1:10" x14ac:dyDescent="0.3">
      <c r="A242" s="2"/>
      <c r="C242" s="1"/>
      <c r="D242" s="1"/>
      <c r="E242" t="e">
        <f>+VLOOKUP(tbl_registro[[#This Row],[Patente]],Pivot_Equipos!$A$1:$E$39,3,FALSE)</f>
        <v>#N/A</v>
      </c>
      <c r="F242" s="2" t="e">
        <f>+VLOOKUP(tbl_registro[[#This Row],[Tipo Equipo]],Pivot_Equipos!$C$1:$E$39,2,FALSE)</f>
        <v>#N/A</v>
      </c>
      <c r="J242" s="2">
        <f t="shared" si="4"/>
        <v>0</v>
      </c>
    </row>
    <row r="243" spans="1:10" x14ac:dyDescent="0.3">
      <c r="A243" s="2"/>
      <c r="C243" s="1"/>
      <c r="D243" s="1"/>
      <c r="E243" t="e">
        <f>+VLOOKUP(tbl_registro[[#This Row],[Patente]],Pivot_Equipos!$A$1:$E$39,3,FALSE)</f>
        <v>#N/A</v>
      </c>
      <c r="F243" s="2" t="e">
        <f>+VLOOKUP(tbl_registro[[#This Row],[Tipo Equipo]],Pivot_Equipos!$C$1:$E$39,2,FALSE)</f>
        <v>#N/A</v>
      </c>
      <c r="J243" s="2">
        <f t="shared" si="4"/>
        <v>0</v>
      </c>
    </row>
    <row r="244" spans="1:10" x14ac:dyDescent="0.3">
      <c r="A244" s="2"/>
      <c r="C244" s="1"/>
      <c r="D244" s="1"/>
      <c r="E244" t="e">
        <f>+VLOOKUP(tbl_registro[[#This Row],[Patente]],Pivot_Equipos!$A$1:$E$39,3,FALSE)</f>
        <v>#N/A</v>
      </c>
      <c r="F244" s="2" t="e">
        <f>+VLOOKUP(tbl_registro[[#This Row],[Tipo Equipo]],Pivot_Equipos!$C$1:$E$39,2,FALSE)</f>
        <v>#N/A</v>
      </c>
      <c r="J244" s="2">
        <f t="shared" si="4"/>
        <v>0</v>
      </c>
    </row>
    <row r="245" spans="1:10" x14ac:dyDescent="0.3">
      <c r="A245" s="2"/>
      <c r="C245" s="1"/>
      <c r="D245" s="1"/>
      <c r="E245" t="e">
        <f>+VLOOKUP(tbl_registro[[#This Row],[Patente]],Pivot_Equipos!$A$1:$E$39,3,FALSE)</f>
        <v>#N/A</v>
      </c>
      <c r="F245" s="2" t="e">
        <f>+VLOOKUP(tbl_registro[[#This Row],[Tipo Equipo]],Pivot_Equipos!$C$1:$E$39,2,FALSE)</f>
        <v>#N/A</v>
      </c>
      <c r="J245" s="2">
        <f t="shared" si="4"/>
        <v>0</v>
      </c>
    </row>
    <row r="246" spans="1:10" x14ac:dyDescent="0.3">
      <c r="A246" s="2"/>
      <c r="C246" s="1"/>
      <c r="D246" s="1"/>
      <c r="E246" t="e">
        <f>+VLOOKUP(tbl_registro[[#This Row],[Patente]],Pivot_Equipos!$A$1:$E$39,3,FALSE)</f>
        <v>#N/A</v>
      </c>
      <c r="F246" s="2" t="e">
        <f>+VLOOKUP(tbl_registro[[#This Row],[Tipo Equipo]],Pivot_Equipos!$C$1:$E$39,2,FALSE)</f>
        <v>#N/A</v>
      </c>
      <c r="J246" s="2">
        <f t="shared" si="4"/>
        <v>0</v>
      </c>
    </row>
    <row r="247" spans="1:10" x14ac:dyDescent="0.3">
      <c r="A247" s="2"/>
      <c r="C247" s="1"/>
      <c r="D247" s="1"/>
      <c r="E247" t="e">
        <f>+VLOOKUP(tbl_registro[[#This Row],[Patente]],Pivot_Equipos!$A$1:$E$39,3,FALSE)</f>
        <v>#N/A</v>
      </c>
      <c r="F247" s="2" t="e">
        <f>+VLOOKUP(tbl_registro[[#This Row],[Tipo Equipo]],Pivot_Equipos!$C$1:$E$39,2,FALSE)</f>
        <v>#N/A</v>
      </c>
      <c r="J247" s="2">
        <f t="shared" si="4"/>
        <v>0</v>
      </c>
    </row>
    <row r="248" spans="1:10" x14ac:dyDescent="0.3">
      <c r="A248" s="2"/>
      <c r="C248" s="1"/>
      <c r="D248" s="1"/>
      <c r="E248" t="e">
        <f>+VLOOKUP(tbl_registro[[#This Row],[Patente]],Pivot_Equipos!$A$1:$E$39,3,FALSE)</f>
        <v>#N/A</v>
      </c>
      <c r="F248" s="2" t="e">
        <f>+VLOOKUP(tbl_registro[[#This Row],[Tipo Equipo]],Pivot_Equipos!$C$1:$E$39,2,FALSE)</f>
        <v>#N/A</v>
      </c>
      <c r="J248" s="2">
        <f t="shared" si="4"/>
        <v>0</v>
      </c>
    </row>
    <row r="249" spans="1:10" x14ac:dyDescent="0.3">
      <c r="A249" s="2"/>
      <c r="C249" s="1"/>
      <c r="D249" s="1"/>
      <c r="E249" t="e">
        <f>+VLOOKUP(tbl_registro[[#This Row],[Patente]],Pivot_Equipos!$A$1:$E$39,3,FALSE)</f>
        <v>#N/A</v>
      </c>
      <c r="F249" s="2" t="e">
        <f>+VLOOKUP(tbl_registro[[#This Row],[Tipo Equipo]],Pivot_Equipos!$C$1:$E$39,2,FALSE)</f>
        <v>#N/A</v>
      </c>
      <c r="J249" s="2">
        <f t="shared" si="4"/>
        <v>0</v>
      </c>
    </row>
    <row r="250" spans="1:10" x14ac:dyDescent="0.3">
      <c r="A250" s="2"/>
      <c r="C250" s="1"/>
      <c r="D250" s="1"/>
      <c r="E250" t="e">
        <f>+VLOOKUP(tbl_registro[[#This Row],[Patente]],Pivot_Equipos!$A$1:$E$39,3,FALSE)</f>
        <v>#N/A</v>
      </c>
      <c r="F250" s="2" t="e">
        <f>+VLOOKUP(tbl_registro[[#This Row],[Tipo Equipo]],Pivot_Equipos!$C$1:$E$39,2,FALSE)</f>
        <v>#N/A</v>
      </c>
      <c r="J250" s="2">
        <f t="shared" si="4"/>
        <v>0</v>
      </c>
    </row>
    <row r="251" spans="1:10" x14ac:dyDescent="0.3">
      <c r="A251" s="2"/>
      <c r="C251" s="1"/>
      <c r="D251" s="1"/>
      <c r="E251" t="e">
        <f>+VLOOKUP(tbl_registro[[#This Row],[Patente]],Pivot_Equipos!$A$1:$E$39,3,FALSE)</f>
        <v>#N/A</v>
      </c>
      <c r="F251" s="2" t="e">
        <f>+VLOOKUP(tbl_registro[[#This Row],[Tipo Equipo]],Pivot_Equipos!$C$1:$E$39,2,FALSE)</f>
        <v>#N/A</v>
      </c>
      <c r="J251" s="2">
        <f t="shared" si="4"/>
        <v>0</v>
      </c>
    </row>
    <row r="252" spans="1:10" x14ac:dyDescent="0.3">
      <c r="A252" s="2"/>
      <c r="C252" s="1"/>
      <c r="D252" s="1"/>
      <c r="E252" t="e">
        <f>+VLOOKUP(tbl_registro[[#This Row],[Patente]],Pivot_Equipos!$A$1:$E$39,3,FALSE)</f>
        <v>#N/A</v>
      </c>
      <c r="F252" s="2" t="e">
        <f>+VLOOKUP(tbl_registro[[#This Row],[Tipo Equipo]],Pivot_Equipos!$C$1:$E$39,2,FALSE)</f>
        <v>#N/A</v>
      </c>
      <c r="J252" s="2">
        <f t="shared" si="4"/>
        <v>0</v>
      </c>
    </row>
    <row r="253" spans="1:10" x14ac:dyDescent="0.3">
      <c r="A253" s="2"/>
      <c r="C253" s="1"/>
      <c r="D253" s="1"/>
      <c r="E253" t="e">
        <f>+VLOOKUP(tbl_registro[[#This Row],[Patente]],Pivot_Equipos!$A$1:$E$39,3,FALSE)</f>
        <v>#N/A</v>
      </c>
      <c r="F253" s="2" t="e">
        <f>+VLOOKUP(tbl_registro[[#This Row],[Tipo Equipo]],Pivot_Equipos!$C$1:$E$39,2,FALSE)</f>
        <v>#N/A</v>
      </c>
      <c r="J253" s="2">
        <f t="shared" si="4"/>
        <v>0</v>
      </c>
    </row>
    <row r="254" spans="1:10" x14ac:dyDescent="0.3">
      <c r="A254" s="2"/>
      <c r="C254" s="1"/>
      <c r="D254" s="1"/>
      <c r="E254" t="e">
        <f>+VLOOKUP(tbl_registro[[#This Row],[Patente]],Pivot_Equipos!$A$1:$E$39,3,FALSE)</f>
        <v>#N/A</v>
      </c>
      <c r="F254" s="2" t="e">
        <f>+VLOOKUP(tbl_registro[[#This Row],[Tipo Equipo]],Pivot_Equipos!$C$1:$E$39,2,FALSE)</f>
        <v>#N/A</v>
      </c>
      <c r="J254" s="2">
        <f t="shared" si="4"/>
        <v>0</v>
      </c>
    </row>
    <row r="255" spans="1:10" x14ac:dyDescent="0.3">
      <c r="A255" s="2"/>
      <c r="C255" s="1"/>
      <c r="D255" s="1"/>
      <c r="E255" t="e">
        <f>+VLOOKUP(tbl_registro[[#This Row],[Patente]],Pivot_Equipos!$A$1:$E$39,3,FALSE)</f>
        <v>#N/A</v>
      </c>
      <c r="F255" s="2" t="e">
        <f>+VLOOKUP(tbl_registro[[#This Row],[Tipo Equipo]],Pivot_Equipos!$C$1:$E$39,2,FALSE)</f>
        <v>#N/A</v>
      </c>
      <c r="J255" s="2">
        <f t="shared" si="4"/>
        <v>0</v>
      </c>
    </row>
    <row r="256" spans="1:10" x14ac:dyDescent="0.3">
      <c r="A256" s="2"/>
      <c r="C256" s="1"/>
      <c r="D256" s="1"/>
      <c r="E256" t="e">
        <f>+VLOOKUP(tbl_registro[[#This Row],[Patente]],Pivot_Equipos!$A$1:$E$39,3,FALSE)</f>
        <v>#N/A</v>
      </c>
      <c r="F256" s="2" t="e">
        <f>+VLOOKUP(tbl_registro[[#This Row],[Tipo Equipo]],Pivot_Equipos!$C$1:$E$39,2,FALSE)</f>
        <v>#N/A</v>
      </c>
      <c r="J256" s="2">
        <f t="shared" si="4"/>
        <v>0</v>
      </c>
    </row>
    <row r="257" spans="1:10" x14ac:dyDescent="0.3">
      <c r="A257" s="2"/>
      <c r="C257" s="1"/>
      <c r="D257" s="1"/>
      <c r="E257" t="e">
        <f>+VLOOKUP(tbl_registro[[#This Row],[Patente]],Pivot_Equipos!$A$1:$E$39,3,FALSE)</f>
        <v>#N/A</v>
      </c>
      <c r="F257" s="2" t="e">
        <f>+VLOOKUP(tbl_registro[[#This Row],[Tipo Equipo]],Pivot_Equipos!$C$1:$E$39,2,FALSE)</f>
        <v>#N/A</v>
      </c>
      <c r="J257" s="2">
        <f t="shared" si="4"/>
        <v>0</v>
      </c>
    </row>
    <row r="258" spans="1:10" x14ac:dyDescent="0.3">
      <c r="A258" s="2"/>
      <c r="C258" s="1"/>
      <c r="D258" s="1"/>
      <c r="E258" t="e">
        <f>+VLOOKUP(tbl_registro[[#This Row],[Patente]],Pivot_Equipos!$A$1:$E$39,3,FALSE)</f>
        <v>#N/A</v>
      </c>
      <c r="F258" s="2" t="e">
        <f>+VLOOKUP(tbl_registro[[#This Row],[Tipo Equipo]],Pivot_Equipos!$C$1:$E$39,2,FALSE)</f>
        <v>#N/A</v>
      </c>
      <c r="J258" s="2">
        <f t="shared" ref="J258:J321" si="5">I258-H258</f>
        <v>0</v>
      </c>
    </row>
    <row r="259" spans="1:10" x14ac:dyDescent="0.3">
      <c r="A259" s="2"/>
      <c r="C259" s="1"/>
      <c r="D259" s="1"/>
      <c r="E259" t="e">
        <f>+VLOOKUP(tbl_registro[[#This Row],[Patente]],Pivot_Equipos!$A$1:$E$39,3,FALSE)</f>
        <v>#N/A</v>
      </c>
      <c r="F259" s="2" t="e">
        <f>+VLOOKUP(tbl_registro[[#This Row],[Tipo Equipo]],Pivot_Equipos!$C$1:$E$39,2,FALSE)</f>
        <v>#N/A</v>
      </c>
      <c r="J259" s="2">
        <f t="shared" si="5"/>
        <v>0</v>
      </c>
    </row>
    <row r="260" spans="1:10" x14ac:dyDescent="0.3">
      <c r="A260" s="2"/>
      <c r="C260" s="1"/>
      <c r="D260" s="1"/>
      <c r="E260" t="e">
        <f>+VLOOKUP(tbl_registro[[#This Row],[Patente]],Pivot_Equipos!$A$1:$E$39,3,FALSE)</f>
        <v>#N/A</v>
      </c>
      <c r="F260" s="2" t="e">
        <f>+VLOOKUP(tbl_registro[[#This Row],[Tipo Equipo]],Pivot_Equipos!$C$1:$E$39,2,FALSE)</f>
        <v>#N/A</v>
      </c>
      <c r="J260" s="2">
        <f t="shared" si="5"/>
        <v>0</v>
      </c>
    </row>
    <row r="261" spans="1:10" x14ac:dyDescent="0.3">
      <c r="A261" s="2"/>
      <c r="C261" s="1"/>
      <c r="D261" s="1"/>
      <c r="E261" t="e">
        <f>+VLOOKUP(tbl_registro[[#This Row],[Patente]],Pivot_Equipos!$A$1:$E$39,3,FALSE)</f>
        <v>#N/A</v>
      </c>
      <c r="F261" s="2" t="e">
        <f>+VLOOKUP(tbl_registro[[#This Row],[Tipo Equipo]],Pivot_Equipos!$C$1:$E$39,2,FALSE)</f>
        <v>#N/A</v>
      </c>
      <c r="J261" s="2">
        <f t="shared" si="5"/>
        <v>0</v>
      </c>
    </row>
    <row r="262" spans="1:10" x14ac:dyDescent="0.3">
      <c r="A262" s="2"/>
      <c r="C262" s="1"/>
      <c r="D262" s="1"/>
      <c r="E262" t="e">
        <f>+VLOOKUP(tbl_registro[[#This Row],[Patente]],Pivot_Equipos!$A$1:$E$39,3,FALSE)</f>
        <v>#N/A</v>
      </c>
      <c r="F262" s="2" t="e">
        <f>+VLOOKUP(tbl_registro[[#This Row],[Tipo Equipo]],Pivot_Equipos!$C$1:$E$39,2,FALSE)</f>
        <v>#N/A</v>
      </c>
      <c r="J262" s="2">
        <f t="shared" si="5"/>
        <v>0</v>
      </c>
    </row>
    <row r="263" spans="1:10" x14ac:dyDescent="0.3">
      <c r="A263" s="2"/>
      <c r="C263" s="1"/>
      <c r="D263" s="1"/>
      <c r="E263" t="e">
        <f>+VLOOKUP(tbl_registro[[#This Row],[Patente]],Pivot_Equipos!$A$1:$E$39,3,FALSE)</f>
        <v>#N/A</v>
      </c>
      <c r="F263" s="2" t="e">
        <f>+VLOOKUP(tbl_registro[[#This Row],[Tipo Equipo]],Pivot_Equipos!$C$1:$E$39,2,FALSE)</f>
        <v>#N/A</v>
      </c>
      <c r="J263" s="2">
        <f t="shared" si="5"/>
        <v>0</v>
      </c>
    </row>
    <row r="264" spans="1:10" x14ac:dyDescent="0.3">
      <c r="A264" s="2"/>
      <c r="C264" s="1"/>
      <c r="D264" s="1"/>
      <c r="E264" t="e">
        <f>+VLOOKUP(tbl_registro[[#This Row],[Patente]],Pivot_Equipos!$A$1:$E$39,3,FALSE)</f>
        <v>#N/A</v>
      </c>
      <c r="F264" s="2" t="e">
        <f>+VLOOKUP(tbl_registro[[#This Row],[Tipo Equipo]],Pivot_Equipos!$C$1:$E$39,2,FALSE)</f>
        <v>#N/A</v>
      </c>
      <c r="J264" s="2">
        <f t="shared" si="5"/>
        <v>0</v>
      </c>
    </row>
    <row r="265" spans="1:10" x14ac:dyDescent="0.3">
      <c r="A265" s="2"/>
      <c r="C265" s="1"/>
      <c r="D265" s="1"/>
      <c r="E265" t="e">
        <f>+VLOOKUP(tbl_registro[[#This Row],[Patente]],Pivot_Equipos!$A$1:$E$39,3,FALSE)</f>
        <v>#N/A</v>
      </c>
      <c r="F265" s="2" t="e">
        <f>+VLOOKUP(tbl_registro[[#This Row],[Tipo Equipo]],Pivot_Equipos!$C$1:$E$39,2,FALSE)</f>
        <v>#N/A</v>
      </c>
      <c r="J265" s="2">
        <f t="shared" si="5"/>
        <v>0</v>
      </c>
    </row>
    <row r="266" spans="1:10" x14ac:dyDescent="0.3">
      <c r="A266" s="2"/>
      <c r="C266" s="1"/>
      <c r="D266" s="1"/>
      <c r="E266" t="e">
        <f>+VLOOKUP(tbl_registro[[#This Row],[Patente]],Pivot_Equipos!$A$1:$E$39,3,FALSE)</f>
        <v>#N/A</v>
      </c>
      <c r="F266" s="2" t="e">
        <f>+VLOOKUP(tbl_registro[[#This Row],[Tipo Equipo]],Pivot_Equipos!$C$1:$E$39,2,FALSE)</f>
        <v>#N/A</v>
      </c>
      <c r="J266" s="2">
        <f t="shared" si="5"/>
        <v>0</v>
      </c>
    </row>
    <row r="267" spans="1:10" x14ac:dyDescent="0.3">
      <c r="A267" s="2"/>
      <c r="C267" s="1"/>
      <c r="D267" s="1"/>
      <c r="E267" t="e">
        <f>+VLOOKUP(tbl_registro[[#This Row],[Patente]],Pivot_Equipos!$A$1:$E$39,3,FALSE)</f>
        <v>#N/A</v>
      </c>
      <c r="F267" s="2" t="e">
        <f>+VLOOKUP(tbl_registro[[#This Row],[Tipo Equipo]],Pivot_Equipos!$C$1:$E$39,2,FALSE)</f>
        <v>#N/A</v>
      </c>
      <c r="J267" s="2">
        <f t="shared" si="5"/>
        <v>0</v>
      </c>
    </row>
    <row r="268" spans="1:10" x14ac:dyDescent="0.3">
      <c r="A268" s="2"/>
      <c r="C268" s="1"/>
      <c r="D268" s="1"/>
      <c r="E268" t="e">
        <f>+VLOOKUP(tbl_registro[[#This Row],[Patente]],Pivot_Equipos!$A$1:$E$39,3,FALSE)</f>
        <v>#N/A</v>
      </c>
      <c r="F268" s="2" t="e">
        <f>+VLOOKUP(tbl_registro[[#This Row],[Tipo Equipo]],Pivot_Equipos!$C$1:$E$39,2,FALSE)</f>
        <v>#N/A</v>
      </c>
      <c r="J268" s="2">
        <f t="shared" si="5"/>
        <v>0</v>
      </c>
    </row>
    <row r="269" spans="1:10" x14ac:dyDescent="0.3">
      <c r="A269" s="2"/>
      <c r="C269" s="1"/>
      <c r="D269" s="1"/>
      <c r="E269" t="e">
        <f>+VLOOKUP(tbl_registro[[#This Row],[Patente]],Pivot_Equipos!$A$1:$E$39,3,FALSE)</f>
        <v>#N/A</v>
      </c>
      <c r="F269" s="2" t="e">
        <f>+VLOOKUP(tbl_registro[[#This Row],[Tipo Equipo]],Pivot_Equipos!$C$1:$E$39,2,FALSE)</f>
        <v>#N/A</v>
      </c>
      <c r="J269" s="2">
        <f t="shared" si="5"/>
        <v>0</v>
      </c>
    </row>
    <row r="270" spans="1:10" x14ac:dyDescent="0.3">
      <c r="A270" s="2"/>
      <c r="C270" s="1"/>
      <c r="D270" s="1"/>
      <c r="E270" t="e">
        <f>+VLOOKUP(tbl_registro[[#This Row],[Patente]],Pivot_Equipos!$A$1:$E$39,3,FALSE)</f>
        <v>#N/A</v>
      </c>
      <c r="F270" s="2" t="e">
        <f>+VLOOKUP(tbl_registro[[#This Row],[Tipo Equipo]],Pivot_Equipos!$C$1:$E$39,2,FALSE)</f>
        <v>#N/A</v>
      </c>
      <c r="J270" s="2">
        <f t="shared" si="5"/>
        <v>0</v>
      </c>
    </row>
    <row r="271" spans="1:10" x14ac:dyDescent="0.3">
      <c r="A271" s="2"/>
      <c r="C271" s="1"/>
      <c r="D271" s="1"/>
      <c r="E271" t="e">
        <f>+VLOOKUP(tbl_registro[[#This Row],[Patente]],Pivot_Equipos!$A$1:$E$39,3,FALSE)</f>
        <v>#N/A</v>
      </c>
      <c r="F271" s="2" t="e">
        <f>+VLOOKUP(tbl_registro[[#This Row],[Tipo Equipo]],Pivot_Equipos!$C$1:$E$39,2,FALSE)</f>
        <v>#N/A</v>
      </c>
      <c r="J271" s="2">
        <f t="shared" si="5"/>
        <v>0</v>
      </c>
    </row>
    <row r="272" spans="1:10" x14ac:dyDescent="0.3">
      <c r="A272" s="2"/>
      <c r="C272" s="1"/>
      <c r="D272" s="1"/>
      <c r="E272" t="e">
        <f>+VLOOKUP(tbl_registro[[#This Row],[Patente]],Pivot_Equipos!$A$1:$E$39,3,FALSE)</f>
        <v>#N/A</v>
      </c>
      <c r="F272" s="2" t="e">
        <f>+VLOOKUP(tbl_registro[[#This Row],[Tipo Equipo]],Pivot_Equipos!$C$1:$E$39,2,FALSE)</f>
        <v>#N/A</v>
      </c>
      <c r="J272" s="2">
        <f t="shared" si="5"/>
        <v>0</v>
      </c>
    </row>
    <row r="273" spans="1:10" x14ac:dyDescent="0.3">
      <c r="A273" s="2"/>
      <c r="C273" s="1"/>
      <c r="D273" s="1"/>
      <c r="E273" t="e">
        <f>+VLOOKUP(tbl_registro[[#This Row],[Patente]],Pivot_Equipos!$A$1:$E$39,3,FALSE)</f>
        <v>#N/A</v>
      </c>
      <c r="F273" s="2" t="e">
        <f>+VLOOKUP(tbl_registro[[#This Row],[Tipo Equipo]],Pivot_Equipos!$C$1:$E$39,2,FALSE)</f>
        <v>#N/A</v>
      </c>
      <c r="J273" s="2">
        <f t="shared" si="5"/>
        <v>0</v>
      </c>
    </row>
    <row r="274" spans="1:10" x14ac:dyDescent="0.3">
      <c r="A274" s="2"/>
      <c r="C274" s="1"/>
      <c r="D274" s="1"/>
      <c r="E274" t="e">
        <f>+VLOOKUP(tbl_registro[[#This Row],[Patente]],Pivot_Equipos!$A$1:$E$39,3,FALSE)</f>
        <v>#N/A</v>
      </c>
      <c r="F274" s="2" t="e">
        <f>+VLOOKUP(tbl_registro[[#This Row],[Tipo Equipo]],Pivot_Equipos!$C$1:$E$39,2,FALSE)</f>
        <v>#N/A</v>
      </c>
      <c r="J274" s="2">
        <f t="shared" si="5"/>
        <v>0</v>
      </c>
    </row>
    <row r="275" spans="1:10" x14ac:dyDescent="0.3">
      <c r="A275" s="2"/>
      <c r="C275" s="1"/>
      <c r="D275" s="1"/>
      <c r="E275" t="e">
        <f>+VLOOKUP(tbl_registro[[#This Row],[Patente]],Pivot_Equipos!$A$1:$E$39,3,FALSE)</f>
        <v>#N/A</v>
      </c>
      <c r="F275" s="2" t="e">
        <f>+VLOOKUP(tbl_registro[[#This Row],[Tipo Equipo]],Pivot_Equipos!$C$1:$E$39,2,FALSE)</f>
        <v>#N/A</v>
      </c>
      <c r="J275" s="2">
        <f t="shared" si="5"/>
        <v>0</v>
      </c>
    </row>
    <row r="276" spans="1:10" x14ac:dyDescent="0.3">
      <c r="A276" s="2"/>
      <c r="C276" s="1"/>
      <c r="D276" s="1"/>
      <c r="E276" t="e">
        <f>+VLOOKUP(tbl_registro[[#This Row],[Patente]],Pivot_Equipos!$A$1:$E$39,3,FALSE)</f>
        <v>#N/A</v>
      </c>
      <c r="F276" s="2" t="e">
        <f>+VLOOKUP(tbl_registro[[#This Row],[Tipo Equipo]],Pivot_Equipos!$C$1:$E$39,2,FALSE)</f>
        <v>#N/A</v>
      </c>
      <c r="J276" s="2">
        <f t="shared" si="5"/>
        <v>0</v>
      </c>
    </row>
    <row r="277" spans="1:10" x14ac:dyDescent="0.3">
      <c r="A277" s="2"/>
      <c r="C277" s="1"/>
      <c r="D277" s="1"/>
      <c r="E277" t="e">
        <f>+VLOOKUP(tbl_registro[[#This Row],[Patente]],Pivot_Equipos!$A$1:$E$39,3,FALSE)</f>
        <v>#N/A</v>
      </c>
      <c r="F277" s="2" t="e">
        <f>+VLOOKUP(tbl_registro[[#This Row],[Tipo Equipo]],Pivot_Equipos!$C$1:$E$39,2,FALSE)</f>
        <v>#N/A</v>
      </c>
      <c r="J277" s="2">
        <f t="shared" si="5"/>
        <v>0</v>
      </c>
    </row>
    <row r="278" spans="1:10" x14ac:dyDescent="0.3">
      <c r="A278" s="2"/>
      <c r="C278" s="1"/>
      <c r="D278" s="1"/>
      <c r="E278" t="e">
        <f>+VLOOKUP(tbl_registro[[#This Row],[Patente]],Pivot_Equipos!$A$1:$E$39,3,FALSE)</f>
        <v>#N/A</v>
      </c>
      <c r="F278" s="2" t="e">
        <f>+VLOOKUP(tbl_registro[[#This Row],[Tipo Equipo]],Pivot_Equipos!$C$1:$E$39,2,FALSE)</f>
        <v>#N/A</v>
      </c>
      <c r="J278" s="2">
        <f t="shared" si="5"/>
        <v>0</v>
      </c>
    </row>
    <row r="279" spans="1:10" x14ac:dyDescent="0.3">
      <c r="A279" s="2"/>
      <c r="C279" s="1"/>
      <c r="D279" s="1"/>
      <c r="E279" t="e">
        <f>+VLOOKUP(tbl_registro[[#This Row],[Patente]],Pivot_Equipos!$A$1:$E$39,3,FALSE)</f>
        <v>#N/A</v>
      </c>
      <c r="F279" s="2" t="e">
        <f>+VLOOKUP(tbl_registro[[#This Row],[Tipo Equipo]],Pivot_Equipos!$C$1:$E$39,2,FALSE)</f>
        <v>#N/A</v>
      </c>
      <c r="J279" s="2">
        <f t="shared" si="5"/>
        <v>0</v>
      </c>
    </row>
    <row r="280" spans="1:10" x14ac:dyDescent="0.3">
      <c r="A280" s="2"/>
      <c r="C280" s="1"/>
      <c r="D280" s="1"/>
      <c r="E280" t="e">
        <f>+VLOOKUP(tbl_registro[[#This Row],[Patente]],Pivot_Equipos!$A$1:$E$39,3,FALSE)</f>
        <v>#N/A</v>
      </c>
      <c r="F280" s="2" t="e">
        <f>+VLOOKUP(tbl_registro[[#This Row],[Tipo Equipo]],Pivot_Equipos!$C$1:$E$39,2,FALSE)</f>
        <v>#N/A</v>
      </c>
      <c r="J280" s="2">
        <f t="shared" si="5"/>
        <v>0</v>
      </c>
    </row>
    <row r="281" spans="1:10" x14ac:dyDescent="0.3">
      <c r="A281" s="2"/>
      <c r="C281" s="1"/>
      <c r="D281" s="1"/>
      <c r="E281" t="e">
        <f>+VLOOKUP(tbl_registro[[#This Row],[Patente]],Pivot_Equipos!$A$1:$E$39,3,FALSE)</f>
        <v>#N/A</v>
      </c>
      <c r="F281" s="2" t="e">
        <f>+VLOOKUP(tbl_registro[[#This Row],[Tipo Equipo]],Pivot_Equipos!$C$1:$E$39,2,FALSE)</f>
        <v>#N/A</v>
      </c>
      <c r="J281" s="2">
        <f t="shared" si="5"/>
        <v>0</v>
      </c>
    </row>
    <row r="282" spans="1:10" x14ac:dyDescent="0.3">
      <c r="A282" s="2"/>
      <c r="C282" s="1"/>
      <c r="D282" s="1"/>
      <c r="E282" t="e">
        <f>+VLOOKUP(tbl_registro[[#This Row],[Patente]],Pivot_Equipos!$A$1:$E$39,3,FALSE)</f>
        <v>#N/A</v>
      </c>
      <c r="F282" s="2" t="e">
        <f>+VLOOKUP(tbl_registro[[#This Row],[Tipo Equipo]],Pivot_Equipos!$C$1:$E$39,2,FALSE)</f>
        <v>#N/A</v>
      </c>
      <c r="J282" s="2">
        <f t="shared" si="5"/>
        <v>0</v>
      </c>
    </row>
    <row r="283" spans="1:10" x14ac:dyDescent="0.3">
      <c r="A283" s="2"/>
      <c r="C283" s="1"/>
      <c r="D283" s="1"/>
      <c r="E283" t="e">
        <f>+VLOOKUP(tbl_registro[[#This Row],[Patente]],Pivot_Equipos!$A$1:$E$39,3,FALSE)</f>
        <v>#N/A</v>
      </c>
      <c r="F283" s="2" t="e">
        <f>+VLOOKUP(tbl_registro[[#This Row],[Tipo Equipo]],Pivot_Equipos!$C$1:$E$39,2,FALSE)</f>
        <v>#N/A</v>
      </c>
      <c r="J283" s="2">
        <f t="shared" si="5"/>
        <v>0</v>
      </c>
    </row>
    <row r="284" spans="1:10" x14ac:dyDescent="0.3">
      <c r="A284" s="2"/>
      <c r="C284" s="1"/>
      <c r="D284" s="1"/>
      <c r="E284" t="e">
        <f>+VLOOKUP(tbl_registro[[#This Row],[Patente]],Pivot_Equipos!$A$1:$E$39,3,FALSE)</f>
        <v>#N/A</v>
      </c>
      <c r="F284" s="2" t="e">
        <f>+VLOOKUP(tbl_registro[[#This Row],[Tipo Equipo]],Pivot_Equipos!$C$1:$E$39,2,FALSE)</f>
        <v>#N/A</v>
      </c>
      <c r="J284" s="2">
        <f t="shared" si="5"/>
        <v>0</v>
      </c>
    </row>
    <row r="285" spans="1:10" x14ac:dyDescent="0.3">
      <c r="A285" s="2"/>
      <c r="C285" s="1"/>
      <c r="D285" s="1"/>
      <c r="E285" t="e">
        <f>+VLOOKUP(tbl_registro[[#This Row],[Patente]],Pivot_Equipos!$A$1:$E$39,3,FALSE)</f>
        <v>#N/A</v>
      </c>
      <c r="F285" s="2" t="e">
        <f>+VLOOKUP(tbl_registro[[#This Row],[Tipo Equipo]],Pivot_Equipos!$C$1:$E$39,2,FALSE)</f>
        <v>#N/A</v>
      </c>
      <c r="J285" s="2">
        <f t="shared" si="5"/>
        <v>0</v>
      </c>
    </row>
    <row r="286" spans="1:10" x14ac:dyDescent="0.3">
      <c r="A286" s="2"/>
      <c r="C286" s="1"/>
      <c r="D286" s="1"/>
      <c r="E286" t="e">
        <f>+VLOOKUP(tbl_registro[[#This Row],[Patente]],Pivot_Equipos!$A$1:$E$39,3,FALSE)</f>
        <v>#N/A</v>
      </c>
      <c r="F286" s="2" t="e">
        <f>+VLOOKUP(tbl_registro[[#This Row],[Tipo Equipo]],Pivot_Equipos!$C$1:$E$39,2,FALSE)</f>
        <v>#N/A</v>
      </c>
      <c r="J286" s="2">
        <f t="shared" si="5"/>
        <v>0</v>
      </c>
    </row>
    <row r="287" spans="1:10" x14ac:dyDescent="0.3">
      <c r="A287" s="2"/>
      <c r="C287" s="1"/>
      <c r="D287" s="1"/>
      <c r="E287" t="e">
        <f>+VLOOKUP(tbl_registro[[#This Row],[Patente]],Pivot_Equipos!$A$1:$E$39,3,FALSE)</f>
        <v>#N/A</v>
      </c>
      <c r="F287" s="2" t="e">
        <f>+VLOOKUP(tbl_registro[[#This Row],[Tipo Equipo]],Pivot_Equipos!$C$1:$E$39,2,FALSE)</f>
        <v>#N/A</v>
      </c>
      <c r="J287" s="2">
        <f t="shared" si="5"/>
        <v>0</v>
      </c>
    </row>
    <row r="288" spans="1:10" x14ac:dyDescent="0.3">
      <c r="A288" s="2"/>
      <c r="C288" s="1"/>
      <c r="D288" s="1"/>
      <c r="E288" t="e">
        <f>+VLOOKUP(tbl_registro[[#This Row],[Patente]],Pivot_Equipos!$A$1:$E$39,3,FALSE)</f>
        <v>#N/A</v>
      </c>
      <c r="F288" s="2" t="e">
        <f>+VLOOKUP(tbl_registro[[#This Row],[Tipo Equipo]],Pivot_Equipos!$C$1:$E$39,2,FALSE)</f>
        <v>#N/A</v>
      </c>
      <c r="J288" s="2">
        <f t="shared" si="5"/>
        <v>0</v>
      </c>
    </row>
    <row r="289" spans="1:10" x14ac:dyDescent="0.3">
      <c r="A289" s="2"/>
      <c r="C289" s="1"/>
      <c r="D289" s="1"/>
      <c r="E289" t="e">
        <f>+VLOOKUP(tbl_registro[[#This Row],[Patente]],Pivot_Equipos!$A$1:$E$39,3,FALSE)</f>
        <v>#N/A</v>
      </c>
      <c r="F289" s="2" t="e">
        <f>+VLOOKUP(tbl_registro[[#This Row],[Tipo Equipo]],Pivot_Equipos!$C$1:$E$39,2,FALSE)</f>
        <v>#N/A</v>
      </c>
      <c r="J289" s="2">
        <f t="shared" si="5"/>
        <v>0</v>
      </c>
    </row>
    <row r="290" spans="1:10" x14ac:dyDescent="0.3">
      <c r="A290" s="2"/>
      <c r="C290" s="1"/>
      <c r="D290" s="1"/>
      <c r="E290" t="e">
        <f>+VLOOKUP(tbl_registro[[#This Row],[Patente]],Pivot_Equipos!$A$1:$E$39,3,FALSE)</f>
        <v>#N/A</v>
      </c>
      <c r="F290" s="2" t="e">
        <f>+VLOOKUP(tbl_registro[[#This Row],[Tipo Equipo]],Pivot_Equipos!$C$1:$E$39,2,FALSE)</f>
        <v>#N/A</v>
      </c>
      <c r="J290" s="2">
        <f t="shared" si="5"/>
        <v>0</v>
      </c>
    </row>
    <row r="291" spans="1:10" x14ac:dyDescent="0.3">
      <c r="A291" s="2"/>
      <c r="C291" s="1"/>
      <c r="D291" s="1"/>
      <c r="E291" t="e">
        <f>+VLOOKUP(tbl_registro[[#This Row],[Patente]],Pivot_Equipos!$A$1:$E$39,3,FALSE)</f>
        <v>#N/A</v>
      </c>
      <c r="F291" s="2" t="e">
        <f>+VLOOKUP(tbl_registro[[#This Row],[Tipo Equipo]],Pivot_Equipos!$C$1:$E$39,2,FALSE)</f>
        <v>#N/A</v>
      </c>
      <c r="J291" s="2">
        <f t="shared" si="5"/>
        <v>0</v>
      </c>
    </row>
    <row r="292" spans="1:10" x14ac:dyDescent="0.3">
      <c r="A292" s="2"/>
      <c r="C292" s="1"/>
      <c r="D292" s="1"/>
      <c r="E292" t="e">
        <f>+VLOOKUP(tbl_registro[[#This Row],[Patente]],Pivot_Equipos!$A$1:$E$39,3,FALSE)</f>
        <v>#N/A</v>
      </c>
      <c r="F292" s="2" t="e">
        <f>+VLOOKUP(tbl_registro[[#This Row],[Tipo Equipo]],Pivot_Equipos!$C$1:$E$39,2,FALSE)</f>
        <v>#N/A</v>
      </c>
      <c r="J292" s="2">
        <f t="shared" si="5"/>
        <v>0</v>
      </c>
    </row>
    <row r="293" spans="1:10" x14ac:dyDescent="0.3">
      <c r="A293" s="2"/>
      <c r="C293" s="1"/>
      <c r="D293" s="1"/>
      <c r="E293" t="e">
        <f>+VLOOKUP(tbl_registro[[#This Row],[Patente]],Pivot_Equipos!$A$1:$E$39,3,FALSE)</f>
        <v>#N/A</v>
      </c>
      <c r="F293" s="2" t="e">
        <f>+VLOOKUP(tbl_registro[[#This Row],[Tipo Equipo]],Pivot_Equipos!$C$1:$E$39,2,FALSE)</f>
        <v>#N/A</v>
      </c>
      <c r="J293" s="2">
        <f t="shared" si="5"/>
        <v>0</v>
      </c>
    </row>
    <row r="294" spans="1:10" x14ac:dyDescent="0.3">
      <c r="A294" s="2"/>
      <c r="C294" s="1"/>
      <c r="D294" s="1"/>
      <c r="E294" t="e">
        <f>+VLOOKUP(tbl_registro[[#This Row],[Patente]],Pivot_Equipos!$A$1:$E$39,3,FALSE)</f>
        <v>#N/A</v>
      </c>
      <c r="F294" s="2" t="e">
        <f>+VLOOKUP(tbl_registro[[#This Row],[Tipo Equipo]],Pivot_Equipos!$C$1:$E$39,2,FALSE)</f>
        <v>#N/A</v>
      </c>
      <c r="J294" s="2">
        <f t="shared" si="5"/>
        <v>0</v>
      </c>
    </row>
    <row r="295" spans="1:10" x14ac:dyDescent="0.3">
      <c r="A295" s="2"/>
      <c r="C295" s="1"/>
      <c r="D295" s="1"/>
      <c r="E295" t="e">
        <f>+VLOOKUP(tbl_registro[[#This Row],[Patente]],Pivot_Equipos!$A$1:$E$39,3,FALSE)</f>
        <v>#N/A</v>
      </c>
      <c r="F295" s="2" t="e">
        <f>+VLOOKUP(tbl_registro[[#This Row],[Tipo Equipo]],Pivot_Equipos!$C$1:$E$39,2,FALSE)</f>
        <v>#N/A</v>
      </c>
      <c r="J295" s="2">
        <f t="shared" si="5"/>
        <v>0</v>
      </c>
    </row>
    <row r="296" spans="1:10" x14ac:dyDescent="0.3">
      <c r="A296" s="2"/>
      <c r="C296" s="1"/>
      <c r="D296" s="1"/>
      <c r="E296" t="e">
        <f>+VLOOKUP(tbl_registro[[#This Row],[Patente]],Pivot_Equipos!$A$1:$E$39,3,FALSE)</f>
        <v>#N/A</v>
      </c>
      <c r="F296" s="2" t="e">
        <f>+VLOOKUP(tbl_registro[[#This Row],[Tipo Equipo]],Pivot_Equipos!$C$1:$E$39,2,FALSE)</f>
        <v>#N/A</v>
      </c>
      <c r="J296" s="2">
        <f t="shared" si="5"/>
        <v>0</v>
      </c>
    </row>
    <row r="297" spans="1:10" x14ac:dyDescent="0.3">
      <c r="A297" s="2"/>
      <c r="C297" s="1"/>
      <c r="D297" s="1"/>
      <c r="E297" t="e">
        <f>+VLOOKUP(tbl_registro[[#This Row],[Patente]],Pivot_Equipos!$A$1:$E$39,3,FALSE)</f>
        <v>#N/A</v>
      </c>
      <c r="F297" s="2" t="e">
        <f>+VLOOKUP(tbl_registro[[#This Row],[Tipo Equipo]],Pivot_Equipos!$C$1:$E$39,2,FALSE)</f>
        <v>#N/A</v>
      </c>
      <c r="J297" s="2">
        <f t="shared" si="5"/>
        <v>0</v>
      </c>
    </row>
    <row r="298" spans="1:10" x14ac:dyDescent="0.3">
      <c r="A298" s="2"/>
      <c r="C298" s="1"/>
      <c r="D298" s="1"/>
      <c r="E298" t="e">
        <f>+VLOOKUP(tbl_registro[[#This Row],[Patente]],Pivot_Equipos!$A$1:$E$39,3,FALSE)</f>
        <v>#N/A</v>
      </c>
      <c r="F298" s="2" t="e">
        <f>+VLOOKUP(tbl_registro[[#This Row],[Tipo Equipo]],Pivot_Equipos!$C$1:$E$39,2,FALSE)</f>
        <v>#N/A</v>
      </c>
      <c r="J298" s="2">
        <f t="shared" si="5"/>
        <v>0</v>
      </c>
    </row>
    <row r="299" spans="1:10" x14ac:dyDescent="0.3">
      <c r="A299" s="2"/>
      <c r="C299" s="1"/>
      <c r="D299" s="1"/>
      <c r="E299" t="e">
        <f>+VLOOKUP(tbl_registro[[#This Row],[Patente]],Pivot_Equipos!$A$1:$E$39,3,FALSE)</f>
        <v>#N/A</v>
      </c>
      <c r="F299" s="2" t="e">
        <f>+VLOOKUP(tbl_registro[[#This Row],[Tipo Equipo]],Pivot_Equipos!$C$1:$E$39,2,FALSE)</f>
        <v>#N/A</v>
      </c>
      <c r="J299" s="2">
        <f t="shared" si="5"/>
        <v>0</v>
      </c>
    </row>
    <row r="300" spans="1:10" x14ac:dyDescent="0.3">
      <c r="A300" s="2"/>
      <c r="C300" s="1"/>
      <c r="D300" s="1"/>
      <c r="E300" t="e">
        <f>+VLOOKUP(tbl_registro[[#This Row],[Patente]],Pivot_Equipos!$A$1:$E$39,3,FALSE)</f>
        <v>#N/A</v>
      </c>
      <c r="F300" s="2" t="e">
        <f>+VLOOKUP(tbl_registro[[#This Row],[Tipo Equipo]],Pivot_Equipos!$C$1:$E$39,2,FALSE)</f>
        <v>#N/A</v>
      </c>
      <c r="J300" s="2">
        <f t="shared" si="5"/>
        <v>0</v>
      </c>
    </row>
    <row r="301" spans="1:10" x14ac:dyDescent="0.3">
      <c r="A301" s="2"/>
      <c r="C301" s="1"/>
      <c r="D301" s="1"/>
      <c r="E301" t="e">
        <f>+VLOOKUP(tbl_registro[[#This Row],[Patente]],Pivot_Equipos!$A$1:$E$39,3,FALSE)</f>
        <v>#N/A</v>
      </c>
      <c r="F301" s="2" t="e">
        <f>+VLOOKUP(tbl_registro[[#This Row],[Tipo Equipo]],Pivot_Equipos!$C$1:$E$39,2,FALSE)</f>
        <v>#N/A</v>
      </c>
      <c r="J301" s="2">
        <f t="shared" si="5"/>
        <v>0</v>
      </c>
    </row>
    <row r="302" spans="1:10" x14ac:dyDescent="0.3">
      <c r="A302" s="2"/>
      <c r="C302" s="1"/>
      <c r="D302" s="1"/>
      <c r="E302" t="e">
        <f>+VLOOKUP(tbl_registro[[#This Row],[Patente]],Pivot_Equipos!$A$1:$E$39,3,FALSE)</f>
        <v>#N/A</v>
      </c>
      <c r="F302" s="2" t="e">
        <f>+VLOOKUP(tbl_registro[[#This Row],[Tipo Equipo]],Pivot_Equipos!$C$1:$E$39,2,FALSE)</f>
        <v>#N/A</v>
      </c>
      <c r="J302" s="2">
        <f t="shared" si="5"/>
        <v>0</v>
      </c>
    </row>
    <row r="303" spans="1:10" x14ac:dyDescent="0.3">
      <c r="A303" s="2"/>
      <c r="C303" s="1"/>
      <c r="D303" s="1"/>
      <c r="E303" t="e">
        <f>+VLOOKUP(tbl_registro[[#This Row],[Patente]],Pivot_Equipos!$A$1:$E$39,3,FALSE)</f>
        <v>#N/A</v>
      </c>
      <c r="F303" s="2" t="e">
        <f>+VLOOKUP(tbl_registro[[#This Row],[Tipo Equipo]],Pivot_Equipos!$C$1:$E$39,2,FALSE)</f>
        <v>#N/A</v>
      </c>
      <c r="J303" s="2">
        <f t="shared" si="5"/>
        <v>0</v>
      </c>
    </row>
    <row r="304" spans="1:10" x14ac:dyDescent="0.3">
      <c r="A304" s="2"/>
      <c r="C304" s="1"/>
      <c r="D304" s="1"/>
      <c r="E304" t="e">
        <f>+VLOOKUP(tbl_registro[[#This Row],[Patente]],Pivot_Equipos!$A$1:$E$39,3,FALSE)</f>
        <v>#N/A</v>
      </c>
      <c r="F304" s="2" t="e">
        <f>+VLOOKUP(tbl_registro[[#This Row],[Tipo Equipo]],Pivot_Equipos!$C$1:$E$39,2,FALSE)</f>
        <v>#N/A</v>
      </c>
      <c r="J304" s="2">
        <f t="shared" si="5"/>
        <v>0</v>
      </c>
    </row>
    <row r="305" spans="1:10" x14ac:dyDescent="0.3">
      <c r="A305" s="2"/>
      <c r="C305" s="1"/>
      <c r="D305" s="1"/>
      <c r="E305" t="e">
        <f>+VLOOKUP(tbl_registro[[#This Row],[Patente]],Pivot_Equipos!$A$1:$E$39,3,FALSE)</f>
        <v>#N/A</v>
      </c>
      <c r="F305" s="2" t="e">
        <f>+VLOOKUP(tbl_registro[[#This Row],[Tipo Equipo]],Pivot_Equipos!$C$1:$E$39,2,FALSE)</f>
        <v>#N/A</v>
      </c>
      <c r="J305" s="2">
        <f t="shared" si="5"/>
        <v>0</v>
      </c>
    </row>
    <row r="306" spans="1:10" x14ac:dyDescent="0.3">
      <c r="A306" s="2"/>
      <c r="C306" s="1"/>
      <c r="D306" s="1"/>
      <c r="E306" t="e">
        <f>+VLOOKUP(tbl_registro[[#This Row],[Patente]],Pivot_Equipos!$A$1:$E$39,3,FALSE)</f>
        <v>#N/A</v>
      </c>
      <c r="F306" s="2" t="e">
        <f>+VLOOKUP(tbl_registro[[#This Row],[Tipo Equipo]],Pivot_Equipos!$C$1:$E$39,2,FALSE)</f>
        <v>#N/A</v>
      </c>
      <c r="J306" s="2">
        <f t="shared" si="5"/>
        <v>0</v>
      </c>
    </row>
    <row r="307" spans="1:10" x14ac:dyDescent="0.3">
      <c r="A307" s="2"/>
      <c r="C307" s="1"/>
      <c r="D307" s="1"/>
      <c r="E307" t="e">
        <f>+VLOOKUP(tbl_registro[[#This Row],[Patente]],Pivot_Equipos!$A$1:$E$39,3,FALSE)</f>
        <v>#N/A</v>
      </c>
      <c r="F307" s="2" t="e">
        <f>+VLOOKUP(tbl_registro[[#This Row],[Tipo Equipo]],Pivot_Equipos!$C$1:$E$39,2,FALSE)</f>
        <v>#N/A</v>
      </c>
      <c r="J307" s="2">
        <f t="shared" si="5"/>
        <v>0</v>
      </c>
    </row>
    <row r="308" spans="1:10" x14ac:dyDescent="0.3">
      <c r="A308" s="2"/>
      <c r="C308" s="1"/>
      <c r="D308" s="1"/>
      <c r="E308" t="e">
        <f>+VLOOKUP(tbl_registro[[#This Row],[Patente]],Pivot_Equipos!$A$1:$E$39,3,FALSE)</f>
        <v>#N/A</v>
      </c>
      <c r="F308" s="2" t="e">
        <f>+VLOOKUP(tbl_registro[[#This Row],[Tipo Equipo]],Pivot_Equipos!$C$1:$E$39,2,FALSE)</f>
        <v>#N/A</v>
      </c>
      <c r="J308" s="2">
        <f t="shared" si="5"/>
        <v>0</v>
      </c>
    </row>
    <row r="309" spans="1:10" x14ac:dyDescent="0.3">
      <c r="A309" s="2"/>
      <c r="C309" s="1"/>
      <c r="D309" s="1"/>
      <c r="E309" t="e">
        <f>+VLOOKUP(tbl_registro[[#This Row],[Patente]],Pivot_Equipos!$A$1:$E$39,3,FALSE)</f>
        <v>#N/A</v>
      </c>
      <c r="F309" s="2" t="e">
        <f>+VLOOKUP(tbl_registro[[#This Row],[Tipo Equipo]],Pivot_Equipos!$C$1:$E$39,2,FALSE)</f>
        <v>#N/A</v>
      </c>
      <c r="J309" s="2">
        <f t="shared" si="5"/>
        <v>0</v>
      </c>
    </row>
    <row r="310" spans="1:10" x14ac:dyDescent="0.3">
      <c r="A310" s="2"/>
      <c r="C310" s="1"/>
      <c r="D310" s="1"/>
      <c r="E310" t="e">
        <f>+VLOOKUP(tbl_registro[[#This Row],[Patente]],Pivot_Equipos!$A$1:$E$39,3,FALSE)</f>
        <v>#N/A</v>
      </c>
      <c r="F310" s="2" t="e">
        <f>+VLOOKUP(tbl_registro[[#This Row],[Tipo Equipo]],Pivot_Equipos!$C$1:$E$39,2,FALSE)</f>
        <v>#N/A</v>
      </c>
      <c r="J310" s="2">
        <f t="shared" si="5"/>
        <v>0</v>
      </c>
    </row>
    <row r="311" spans="1:10" x14ac:dyDescent="0.3">
      <c r="A311" s="2"/>
      <c r="C311" s="1"/>
      <c r="D311" s="1"/>
      <c r="E311" t="e">
        <f>+VLOOKUP(tbl_registro[[#This Row],[Patente]],Pivot_Equipos!$A$1:$E$39,3,FALSE)</f>
        <v>#N/A</v>
      </c>
      <c r="F311" s="2" t="e">
        <f>+VLOOKUP(tbl_registro[[#This Row],[Tipo Equipo]],Pivot_Equipos!$C$1:$E$39,2,FALSE)</f>
        <v>#N/A</v>
      </c>
      <c r="J311" s="2">
        <f t="shared" si="5"/>
        <v>0</v>
      </c>
    </row>
    <row r="312" spans="1:10" x14ac:dyDescent="0.3">
      <c r="A312" s="2"/>
      <c r="C312" s="1"/>
      <c r="D312" s="1"/>
      <c r="E312" t="e">
        <f>+VLOOKUP(tbl_registro[[#This Row],[Patente]],Pivot_Equipos!$A$1:$E$39,3,FALSE)</f>
        <v>#N/A</v>
      </c>
      <c r="F312" s="2" t="e">
        <f>+VLOOKUP(tbl_registro[[#This Row],[Tipo Equipo]],Pivot_Equipos!$C$1:$E$39,2,FALSE)</f>
        <v>#N/A</v>
      </c>
      <c r="J312" s="2">
        <f t="shared" si="5"/>
        <v>0</v>
      </c>
    </row>
    <row r="313" spans="1:10" x14ac:dyDescent="0.3">
      <c r="A313" s="2"/>
      <c r="C313" s="1"/>
      <c r="D313" s="1"/>
      <c r="E313" t="e">
        <f>+VLOOKUP(tbl_registro[[#This Row],[Patente]],Pivot_Equipos!$A$1:$E$39,3,FALSE)</f>
        <v>#N/A</v>
      </c>
      <c r="F313" s="2" t="e">
        <f>+VLOOKUP(tbl_registro[[#This Row],[Tipo Equipo]],Pivot_Equipos!$C$1:$E$39,2,FALSE)</f>
        <v>#N/A</v>
      </c>
      <c r="J313" s="2">
        <f t="shared" si="5"/>
        <v>0</v>
      </c>
    </row>
    <row r="314" spans="1:10" x14ac:dyDescent="0.3">
      <c r="A314" s="2"/>
      <c r="C314" s="1"/>
      <c r="D314" s="1"/>
      <c r="E314" t="e">
        <f>+VLOOKUP(tbl_registro[[#This Row],[Patente]],Pivot_Equipos!$A$1:$E$39,3,FALSE)</f>
        <v>#N/A</v>
      </c>
      <c r="F314" s="2" t="e">
        <f>+VLOOKUP(tbl_registro[[#This Row],[Tipo Equipo]],Pivot_Equipos!$C$1:$E$39,2,FALSE)</f>
        <v>#N/A</v>
      </c>
      <c r="J314" s="2">
        <f t="shared" si="5"/>
        <v>0</v>
      </c>
    </row>
    <row r="315" spans="1:10" x14ac:dyDescent="0.3">
      <c r="A315" s="2"/>
      <c r="C315" s="1"/>
      <c r="D315" s="1"/>
      <c r="E315" t="e">
        <f>+VLOOKUP(tbl_registro[[#This Row],[Patente]],Pivot_Equipos!$A$1:$E$39,3,FALSE)</f>
        <v>#N/A</v>
      </c>
      <c r="F315" s="2" t="e">
        <f>+VLOOKUP(tbl_registro[[#This Row],[Tipo Equipo]],Pivot_Equipos!$C$1:$E$39,2,FALSE)</f>
        <v>#N/A</v>
      </c>
      <c r="J315" s="2">
        <f t="shared" si="5"/>
        <v>0</v>
      </c>
    </row>
    <row r="316" spans="1:10" x14ac:dyDescent="0.3">
      <c r="A316" s="2"/>
      <c r="C316" s="1"/>
      <c r="D316" s="1"/>
      <c r="E316" t="e">
        <f>+VLOOKUP(tbl_registro[[#This Row],[Patente]],Pivot_Equipos!$A$1:$E$39,3,FALSE)</f>
        <v>#N/A</v>
      </c>
      <c r="F316" s="2" t="e">
        <f>+VLOOKUP(tbl_registro[[#This Row],[Tipo Equipo]],Pivot_Equipos!$C$1:$E$39,2,FALSE)</f>
        <v>#N/A</v>
      </c>
      <c r="J316" s="2">
        <f t="shared" si="5"/>
        <v>0</v>
      </c>
    </row>
    <row r="317" spans="1:10" x14ac:dyDescent="0.3">
      <c r="A317" s="2"/>
      <c r="C317" s="1"/>
      <c r="D317" s="1"/>
      <c r="E317" t="e">
        <f>+VLOOKUP(tbl_registro[[#This Row],[Patente]],Pivot_Equipos!$A$1:$E$39,3,FALSE)</f>
        <v>#N/A</v>
      </c>
      <c r="F317" s="2" t="e">
        <f>+VLOOKUP(tbl_registro[[#This Row],[Tipo Equipo]],Pivot_Equipos!$C$1:$E$39,2,FALSE)</f>
        <v>#N/A</v>
      </c>
      <c r="J317" s="2">
        <f t="shared" si="5"/>
        <v>0</v>
      </c>
    </row>
    <row r="318" spans="1:10" x14ac:dyDescent="0.3">
      <c r="A318" s="2"/>
      <c r="C318" s="1"/>
      <c r="D318" s="1"/>
      <c r="E318" t="e">
        <f>+VLOOKUP(tbl_registro[[#This Row],[Patente]],Pivot_Equipos!$A$1:$E$39,3,FALSE)</f>
        <v>#N/A</v>
      </c>
      <c r="F318" s="2" t="e">
        <f>+VLOOKUP(tbl_registro[[#This Row],[Tipo Equipo]],Pivot_Equipos!$C$1:$E$39,2,FALSE)</f>
        <v>#N/A</v>
      </c>
      <c r="J318" s="2">
        <f t="shared" si="5"/>
        <v>0</v>
      </c>
    </row>
    <row r="319" spans="1:10" x14ac:dyDescent="0.3">
      <c r="A319" s="2"/>
      <c r="C319" s="1"/>
      <c r="D319" s="1"/>
      <c r="E319" t="e">
        <f>+VLOOKUP(tbl_registro[[#This Row],[Patente]],Pivot_Equipos!$A$1:$E$39,3,FALSE)</f>
        <v>#N/A</v>
      </c>
      <c r="F319" s="2" t="e">
        <f>+VLOOKUP(tbl_registro[[#This Row],[Tipo Equipo]],Pivot_Equipos!$C$1:$E$39,2,FALSE)</f>
        <v>#N/A</v>
      </c>
      <c r="J319" s="2">
        <f t="shared" si="5"/>
        <v>0</v>
      </c>
    </row>
    <row r="320" spans="1:10" x14ac:dyDescent="0.3">
      <c r="A320" s="2"/>
      <c r="C320" s="1"/>
      <c r="D320" s="1"/>
      <c r="E320" t="e">
        <f>+VLOOKUP(tbl_registro[[#This Row],[Patente]],Pivot_Equipos!$A$1:$E$39,3,FALSE)</f>
        <v>#N/A</v>
      </c>
      <c r="F320" s="2" t="e">
        <f>+VLOOKUP(tbl_registro[[#This Row],[Tipo Equipo]],Pivot_Equipos!$C$1:$E$39,2,FALSE)</f>
        <v>#N/A</v>
      </c>
      <c r="J320" s="2">
        <f t="shared" si="5"/>
        <v>0</v>
      </c>
    </row>
    <row r="321" spans="1:10" x14ac:dyDescent="0.3">
      <c r="A321" s="2"/>
      <c r="C321" s="1"/>
      <c r="D321" s="1"/>
      <c r="E321" t="e">
        <f>+VLOOKUP(tbl_registro[[#This Row],[Patente]],Pivot_Equipos!$A$1:$E$39,3,FALSE)</f>
        <v>#N/A</v>
      </c>
      <c r="F321" s="2" t="e">
        <f>+VLOOKUP(tbl_registro[[#This Row],[Tipo Equipo]],Pivot_Equipos!$C$1:$E$39,2,FALSE)</f>
        <v>#N/A</v>
      </c>
      <c r="J321" s="2">
        <f t="shared" si="5"/>
        <v>0</v>
      </c>
    </row>
    <row r="322" spans="1:10" x14ac:dyDescent="0.3">
      <c r="A322" s="2"/>
      <c r="C322" s="1"/>
      <c r="D322" s="1"/>
      <c r="E322" t="e">
        <f>+VLOOKUP(tbl_registro[[#This Row],[Patente]],Pivot_Equipos!$A$1:$E$39,3,FALSE)</f>
        <v>#N/A</v>
      </c>
      <c r="F322" s="2" t="e">
        <f>+VLOOKUP(tbl_registro[[#This Row],[Tipo Equipo]],Pivot_Equipos!$C$1:$E$39,2,FALSE)</f>
        <v>#N/A</v>
      </c>
      <c r="J322" s="2">
        <f t="shared" ref="J322:J385" si="6">I322-H322</f>
        <v>0</v>
      </c>
    </row>
    <row r="323" spans="1:10" x14ac:dyDescent="0.3">
      <c r="A323" s="2"/>
      <c r="C323" s="1"/>
      <c r="D323" s="1"/>
      <c r="E323" t="e">
        <f>+VLOOKUP(tbl_registro[[#This Row],[Patente]],Pivot_Equipos!$A$1:$E$39,3,FALSE)</f>
        <v>#N/A</v>
      </c>
      <c r="F323" s="2" t="e">
        <f>+VLOOKUP(tbl_registro[[#This Row],[Tipo Equipo]],Pivot_Equipos!$C$1:$E$39,2,FALSE)</f>
        <v>#N/A</v>
      </c>
      <c r="J323" s="2">
        <f t="shared" si="6"/>
        <v>0</v>
      </c>
    </row>
    <row r="324" spans="1:10" x14ac:dyDescent="0.3">
      <c r="A324" s="2"/>
      <c r="C324" s="1"/>
      <c r="D324" s="1"/>
      <c r="E324" t="e">
        <f>+VLOOKUP(tbl_registro[[#This Row],[Patente]],Pivot_Equipos!$A$1:$E$39,3,FALSE)</f>
        <v>#N/A</v>
      </c>
      <c r="F324" s="2" t="e">
        <f>+VLOOKUP(tbl_registro[[#This Row],[Tipo Equipo]],Pivot_Equipos!$C$1:$E$39,2,FALSE)</f>
        <v>#N/A</v>
      </c>
      <c r="J324" s="2">
        <f t="shared" si="6"/>
        <v>0</v>
      </c>
    </row>
    <row r="325" spans="1:10" x14ac:dyDescent="0.3">
      <c r="A325" s="2"/>
      <c r="C325" s="1"/>
      <c r="D325" s="1"/>
      <c r="E325" t="e">
        <f>+VLOOKUP(tbl_registro[[#This Row],[Patente]],Pivot_Equipos!$A$1:$E$39,3,FALSE)</f>
        <v>#N/A</v>
      </c>
      <c r="F325" s="2" t="e">
        <f>+VLOOKUP(tbl_registro[[#This Row],[Tipo Equipo]],Pivot_Equipos!$C$1:$E$39,2,FALSE)</f>
        <v>#N/A</v>
      </c>
      <c r="J325" s="2">
        <f t="shared" si="6"/>
        <v>0</v>
      </c>
    </row>
    <row r="326" spans="1:10" x14ac:dyDescent="0.3">
      <c r="A326" s="2"/>
      <c r="C326" s="1"/>
      <c r="D326" s="1"/>
      <c r="E326" t="e">
        <f>+VLOOKUP(tbl_registro[[#This Row],[Patente]],Pivot_Equipos!$A$1:$E$39,3,FALSE)</f>
        <v>#N/A</v>
      </c>
      <c r="F326" s="2" t="e">
        <f>+VLOOKUP(tbl_registro[[#This Row],[Tipo Equipo]],Pivot_Equipos!$C$1:$E$39,2,FALSE)</f>
        <v>#N/A</v>
      </c>
      <c r="J326" s="2">
        <f t="shared" si="6"/>
        <v>0</v>
      </c>
    </row>
    <row r="327" spans="1:10" x14ac:dyDescent="0.3">
      <c r="A327" s="2"/>
      <c r="C327" s="1"/>
      <c r="D327" s="1"/>
      <c r="E327" t="e">
        <f>+VLOOKUP(tbl_registro[[#This Row],[Patente]],Pivot_Equipos!$A$1:$E$39,3,FALSE)</f>
        <v>#N/A</v>
      </c>
      <c r="F327" s="2" t="e">
        <f>+VLOOKUP(tbl_registro[[#This Row],[Tipo Equipo]],Pivot_Equipos!$C$1:$E$39,2,FALSE)</f>
        <v>#N/A</v>
      </c>
      <c r="J327" s="2">
        <f t="shared" si="6"/>
        <v>0</v>
      </c>
    </row>
    <row r="328" spans="1:10" x14ac:dyDescent="0.3">
      <c r="A328" s="2"/>
      <c r="C328" s="1"/>
      <c r="D328" s="1"/>
      <c r="E328" t="e">
        <f>+VLOOKUP(tbl_registro[[#This Row],[Patente]],Pivot_Equipos!$A$1:$E$39,3,FALSE)</f>
        <v>#N/A</v>
      </c>
      <c r="F328" s="2" t="e">
        <f>+VLOOKUP(tbl_registro[[#This Row],[Tipo Equipo]],Pivot_Equipos!$C$1:$E$39,2,FALSE)</f>
        <v>#N/A</v>
      </c>
      <c r="J328" s="2">
        <f t="shared" si="6"/>
        <v>0</v>
      </c>
    </row>
    <row r="329" spans="1:10" x14ac:dyDescent="0.3">
      <c r="A329" s="2"/>
      <c r="C329" s="1"/>
      <c r="D329" s="1"/>
      <c r="E329" t="e">
        <f>+VLOOKUP(tbl_registro[[#This Row],[Patente]],Pivot_Equipos!$A$1:$E$39,3,FALSE)</f>
        <v>#N/A</v>
      </c>
      <c r="F329" s="2" t="e">
        <f>+VLOOKUP(tbl_registro[[#This Row],[Tipo Equipo]],Pivot_Equipos!$C$1:$E$39,2,FALSE)</f>
        <v>#N/A</v>
      </c>
      <c r="J329" s="2">
        <f t="shared" si="6"/>
        <v>0</v>
      </c>
    </row>
    <row r="330" spans="1:10" x14ac:dyDescent="0.3">
      <c r="A330" s="2"/>
      <c r="C330" s="1"/>
      <c r="D330" s="1"/>
      <c r="E330" t="e">
        <f>+VLOOKUP(tbl_registro[[#This Row],[Patente]],Pivot_Equipos!$A$1:$E$39,3,FALSE)</f>
        <v>#N/A</v>
      </c>
      <c r="F330" s="2" t="e">
        <f>+VLOOKUP(tbl_registro[[#This Row],[Tipo Equipo]],Pivot_Equipos!$C$1:$E$39,2,FALSE)</f>
        <v>#N/A</v>
      </c>
      <c r="J330" s="2">
        <f t="shared" si="6"/>
        <v>0</v>
      </c>
    </row>
    <row r="331" spans="1:10" x14ac:dyDescent="0.3">
      <c r="A331" s="2"/>
      <c r="C331" s="1"/>
      <c r="D331" s="1"/>
      <c r="E331" t="e">
        <f>+VLOOKUP(tbl_registro[[#This Row],[Patente]],Pivot_Equipos!$A$1:$E$39,3,FALSE)</f>
        <v>#N/A</v>
      </c>
      <c r="F331" s="2" t="e">
        <f>+VLOOKUP(tbl_registro[[#This Row],[Tipo Equipo]],Pivot_Equipos!$C$1:$E$39,2,FALSE)</f>
        <v>#N/A</v>
      </c>
      <c r="J331" s="2">
        <f t="shared" si="6"/>
        <v>0</v>
      </c>
    </row>
    <row r="332" spans="1:10" x14ac:dyDescent="0.3">
      <c r="A332" s="2"/>
      <c r="C332" s="1"/>
      <c r="D332" s="1"/>
      <c r="E332" t="e">
        <f>+VLOOKUP(tbl_registro[[#This Row],[Patente]],Pivot_Equipos!$A$1:$E$39,3,FALSE)</f>
        <v>#N/A</v>
      </c>
      <c r="F332" s="2" t="e">
        <f>+VLOOKUP(tbl_registro[[#This Row],[Tipo Equipo]],Pivot_Equipos!$C$1:$E$39,2,FALSE)</f>
        <v>#N/A</v>
      </c>
      <c r="J332" s="2">
        <f t="shared" si="6"/>
        <v>0</v>
      </c>
    </row>
    <row r="333" spans="1:10" x14ac:dyDescent="0.3">
      <c r="A333" s="2"/>
      <c r="C333" s="1"/>
      <c r="D333" s="1"/>
      <c r="E333" t="e">
        <f>+VLOOKUP(tbl_registro[[#This Row],[Patente]],Pivot_Equipos!$A$1:$E$39,3,FALSE)</f>
        <v>#N/A</v>
      </c>
      <c r="F333" s="2" t="e">
        <f>+VLOOKUP(tbl_registro[[#This Row],[Tipo Equipo]],Pivot_Equipos!$C$1:$E$39,2,FALSE)</f>
        <v>#N/A</v>
      </c>
      <c r="J333" s="2">
        <f t="shared" si="6"/>
        <v>0</v>
      </c>
    </row>
    <row r="334" spans="1:10" x14ac:dyDescent="0.3">
      <c r="A334" s="2"/>
      <c r="C334" s="1"/>
      <c r="D334" s="1"/>
      <c r="E334" t="e">
        <f>+VLOOKUP(tbl_registro[[#This Row],[Patente]],Pivot_Equipos!$A$1:$E$39,3,FALSE)</f>
        <v>#N/A</v>
      </c>
      <c r="F334" s="2" t="e">
        <f>+VLOOKUP(tbl_registro[[#This Row],[Tipo Equipo]],Pivot_Equipos!$C$1:$E$39,2,FALSE)</f>
        <v>#N/A</v>
      </c>
      <c r="J334" s="2">
        <f t="shared" si="6"/>
        <v>0</v>
      </c>
    </row>
    <row r="335" spans="1:10" x14ac:dyDescent="0.3">
      <c r="A335" s="2"/>
      <c r="C335" s="1"/>
      <c r="D335" s="1"/>
      <c r="E335" t="e">
        <f>+VLOOKUP(tbl_registro[[#This Row],[Patente]],Pivot_Equipos!$A$1:$E$39,3,FALSE)</f>
        <v>#N/A</v>
      </c>
      <c r="F335" s="2" t="e">
        <f>+VLOOKUP(tbl_registro[[#This Row],[Tipo Equipo]],Pivot_Equipos!$C$1:$E$39,2,FALSE)</f>
        <v>#N/A</v>
      </c>
      <c r="J335" s="2">
        <f t="shared" si="6"/>
        <v>0</v>
      </c>
    </row>
    <row r="336" spans="1:10" x14ac:dyDescent="0.3">
      <c r="A336" s="2"/>
      <c r="C336" s="1"/>
      <c r="D336" s="1"/>
      <c r="E336" t="e">
        <f>+VLOOKUP(tbl_registro[[#This Row],[Patente]],Pivot_Equipos!$A$1:$E$39,3,FALSE)</f>
        <v>#N/A</v>
      </c>
      <c r="F336" s="2" t="e">
        <f>+VLOOKUP(tbl_registro[[#This Row],[Tipo Equipo]],Pivot_Equipos!$C$1:$E$39,2,FALSE)</f>
        <v>#N/A</v>
      </c>
      <c r="J336" s="2">
        <f t="shared" si="6"/>
        <v>0</v>
      </c>
    </row>
    <row r="337" spans="1:10" x14ac:dyDescent="0.3">
      <c r="A337" s="2"/>
      <c r="C337" s="1"/>
      <c r="D337" s="1"/>
      <c r="E337" t="e">
        <f>+VLOOKUP(tbl_registro[[#This Row],[Patente]],Pivot_Equipos!$A$1:$E$39,3,FALSE)</f>
        <v>#N/A</v>
      </c>
      <c r="F337" s="2" t="e">
        <f>+VLOOKUP(tbl_registro[[#This Row],[Tipo Equipo]],Pivot_Equipos!$C$1:$E$39,2,FALSE)</f>
        <v>#N/A</v>
      </c>
      <c r="J337" s="2">
        <f t="shared" si="6"/>
        <v>0</v>
      </c>
    </row>
    <row r="338" spans="1:10" x14ac:dyDescent="0.3">
      <c r="A338" s="2"/>
      <c r="C338" s="1"/>
      <c r="D338" s="1"/>
      <c r="E338" t="e">
        <f>+VLOOKUP(tbl_registro[[#This Row],[Patente]],Pivot_Equipos!$A$1:$E$39,3,FALSE)</f>
        <v>#N/A</v>
      </c>
      <c r="F338" s="2" t="e">
        <f>+VLOOKUP(tbl_registro[[#This Row],[Tipo Equipo]],Pivot_Equipos!$C$1:$E$39,2,FALSE)</f>
        <v>#N/A</v>
      </c>
      <c r="J338" s="2">
        <f t="shared" si="6"/>
        <v>0</v>
      </c>
    </row>
    <row r="339" spans="1:10" x14ac:dyDescent="0.3">
      <c r="A339" s="2"/>
      <c r="C339" s="1"/>
      <c r="D339" s="1"/>
      <c r="E339" t="e">
        <f>+VLOOKUP(tbl_registro[[#This Row],[Patente]],Pivot_Equipos!$A$1:$E$39,3,FALSE)</f>
        <v>#N/A</v>
      </c>
      <c r="F339" s="2" t="e">
        <f>+VLOOKUP(tbl_registro[[#This Row],[Tipo Equipo]],Pivot_Equipos!$C$1:$E$39,2,FALSE)</f>
        <v>#N/A</v>
      </c>
      <c r="J339" s="2">
        <f t="shared" si="6"/>
        <v>0</v>
      </c>
    </row>
    <row r="340" spans="1:10" x14ac:dyDescent="0.3">
      <c r="A340" s="2"/>
      <c r="C340" s="1"/>
      <c r="D340" s="1"/>
      <c r="E340" t="e">
        <f>+VLOOKUP(tbl_registro[[#This Row],[Patente]],Pivot_Equipos!$A$1:$E$39,3,FALSE)</f>
        <v>#N/A</v>
      </c>
      <c r="F340" s="2" t="e">
        <f>+VLOOKUP(tbl_registro[[#This Row],[Tipo Equipo]],Pivot_Equipos!$C$1:$E$39,2,FALSE)</f>
        <v>#N/A</v>
      </c>
      <c r="J340" s="2">
        <f t="shared" si="6"/>
        <v>0</v>
      </c>
    </row>
    <row r="341" spans="1:10" x14ac:dyDescent="0.3">
      <c r="A341" s="2"/>
      <c r="C341" s="1"/>
      <c r="D341" s="1"/>
      <c r="E341" t="e">
        <f>+VLOOKUP(tbl_registro[[#This Row],[Patente]],Pivot_Equipos!$A$1:$E$39,3,FALSE)</f>
        <v>#N/A</v>
      </c>
      <c r="F341" s="2" t="e">
        <f>+VLOOKUP(tbl_registro[[#This Row],[Tipo Equipo]],Pivot_Equipos!$C$1:$E$39,2,FALSE)</f>
        <v>#N/A</v>
      </c>
      <c r="J341" s="2">
        <f t="shared" si="6"/>
        <v>0</v>
      </c>
    </row>
    <row r="342" spans="1:10" x14ac:dyDescent="0.3">
      <c r="A342" s="2"/>
      <c r="C342" s="1"/>
      <c r="D342" s="1"/>
      <c r="E342" t="e">
        <f>+VLOOKUP(tbl_registro[[#This Row],[Patente]],Pivot_Equipos!$A$1:$E$39,3,FALSE)</f>
        <v>#N/A</v>
      </c>
      <c r="F342" s="2" t="e">
        <f>+VLOOKUP(tbl_registro[[#This Row],[Tipo Equipo]],Pivot_Equipos!$C$1:$E$39,2,FALSE)</f>
        <v>#N/A</v>
      </c>
      <c r="J342" s="2">
        <f t="shared" si="6"/>
        <v>0</v>
      </c>
    </row>
    <row r="343" spans="1:10" x14ac:dyDescent="0.3">
      <c r="A343" s="2"/>
      <c r="C343" s="1"/>
      <c r="D343" s="1"/>
      <c r="E343" t="e">
        <f>+VLOOKUP(tbl_registro[[#This Row],[Patente]],Pivot_Equipos!$A$1:$E$39,3,FALSE)</f>
        <v>#N/A</v>
      </c>
      <c r="F343" s="2" t="e">
        <f>+VLOOKUP(tbl_registro[[#This Row],[Tipo Equipo]],Pivot_Equipos!$C$1:$E$39,2,FALSE)</f>
        <v>#N/A</v>
      </c>
      <c r="J343" s="2">
        <f t="shared" si="6"/>
        <v>0</v>
      </c>
    </row>
    <row r="344" spans="1:10" x14ac:dyDescent="0.3">
      <c r="A344" s="2"/>
      <c r="C344" s="1"/>
      <c r="D344" s="1"/>
      <c r="E344" t="e">
        <f>+VLOOKUP(tbl_registro[[#This Row],[Patente]],Pivot_Equipos!$A$1:$E$39,3,FALSE)</f>
        <v>#N/A</v>
      </c>
      <c r="F344" s="2" t="e">
        <f>+VLOOKUP(tbl_registro[[#This Row],[Tipo Equipo]],Pivot_Equipos!$C$1:$E$39,2,FALSE)</f>
        <v>#N/A</v>
      </c>
      <c r="J344" s="2">
        <f t="shared" si="6"/>
        <v>0</v>
      </c>
    </row>
    <row r="345" spans="1:10" x14ac:dyDescent="0.3">
      <c r="A345" s="2"/>
      <c r="C345" s="1"/>
      <c r="D345" s="1"/>
      <c r="E345" t="e">
        <f>+VLOOKUP(tbl_registro[[#This Row],[Patente]],Pivot_Equipos!$A$1:$E$39,3,FALSE)</f>
        <v>#N/A</v>
      </c>
      <c r="F345" s="2" t="e">
        <f>+VLOOKUP(tbl_registro[[#This Row],[Tipo Equipo]],Pivot_Equipos!$C$1:$E$39,2,FALSE)</f>
        <v>#N/A</v>
      </c>
      <c r="J345" s="2">
        <f t="shared" si="6"/>
        <v>0</v>
      </c>
    </row>
    <row r="346" spans="1:10" x14ac:dyDescent="0.3">
      <c r="A346" s="2"/>
      <c r="C346" s="1"/>
      <c r="D346" s="1"/>
      <c r="E346" t="e">
        <f>+VLOOKUP(tbl_registro[[#This Row],[Patente]],Pivot_Equipos!$A$1:$E$39,3,FALSE)</f>
        <v>#N/A</v>
      </c>
      <c r="F346" s="2" t="e">
        <f>+VLOOKUP(tbl_registro[[#This Row],[Tipo Equipo]],Pivot_Equipos!$C$1:$E$39,2,FALSE)</f>
        <v>#N/A</v>
      </c>
      <c r="J346" s="2">
        <f t="shared" si="6"/>
        <v>0</v>
      </c>
    </row>
    <row r="347" spans="1:10" x14ac:dyDescent="0.3">
      <c r="A347" s="2"/>
      <c r="C347" s="1"/>
      <c r="D347" s="1"/>
      <c r="E347" t="e">
        <f>+VLOOKUP(tbl_registro[[#This Row],[Patente]],Pivot_Equipos!$A$1:$E$39,3,FALSE)</f>
        <v>#N/A</v>
      </c>
      <c r="F347" s="2" t="e">
        <f>+VLOOKUP(tbl_registro[[#This Row],[Tipo Equipo]],Pivot_Equipos!$C$1:$E$39,2,FALSE)</f>
        <v>#N/A</v>
      </c>
      <c r="J347" s="2">
        <f t="shared" si="6"/>
        <v>0</v>
      </c>
    </row>
    <row r="348" spans="1:10" x14ac:dyDescent="0.3">
      <c r="A348" s="2"/>
      <c r="C348" s="1"/>
      <c r="D348" s="1"/>
      <c r="E348" t="e">
        <f>+VLOOKUP(tbl_registro[[#This Row],[Patente]],Pivot_Equipos!$A$1:$E$39,3,FALSE)</f>
        <v>#N/A</v>
      </c>
      <c r="F348" s="2" t="e">
        <f>+VLOOKUP(tbl_registro[[#This Row],[Tipo Equipo]],Pivot_Equipos!$C$1:$E$39,2,FALSE)</f>
        <v>#N/A</v>
      </c>
      <c r="J348" s="2">
        <f t="shared" si="6"/>
        <v>0</v>
      </c>
    </row>
    <row r="349" spans="1:10" x14ac:dyDescent="0.3">
      <c r="A349" s="2"/>
      <c r="C349" s="1"/>
      <c r="D349" s="1"/>
      <c r="E349" t="e">
        <f>+VLOOKUP(tbl_registro[[#This Row],[Patente]],Pivot_Equipos!$A$1:$E$39,3,FALSE)</f>
        <v>#N/A</v>
      </c>
      <c r="F349" s="2" t="e">
        <f>+VLOOKUP(tbl_registro[[#This Row],[Tipo Equipo]],Pivot_Equipos!$C$1:$E$39,2,FALSE)</f>
        <v>#N/A</v>
      </c>
      <c r="J349" s="2">
        <f t="shared" si="6"/>
        <v>0</v>
      </c>
    </row>
    <row r="350" spans="1:10" x14ac:dyDescent="0.3">
      <c r="A350" s="2"/>
      <c r="C350" s="1"/>
      <c r="D350" s="1"/>
      <c r="E350" t="e">
        <f>+VLOOKUP(tbl_registro[[#This Row],[Patente]],Pivot_Equipos!$A$1:$E$39,3,FALSE)</f>
        <v>#N/A</v>
      </c>
      <c r="F350" s="2" t="e">
        <f>+VLOOKUP(tbl_registro[[#This Row],[Tipo Equipo]],Pivot_Equipos!$C$1:$E$39,2,FALSE)</f>
        <v>#N/A</v>
      </c>
      <c r="J350" s="2">
        <f t="shared" si="6"/>
        <v>0</v>
      </c>
    </row>
    <row r="351" spans="1:10" x14ac:dyDescent="0.3">
      <c r="A351" s="2"/>
      <c r="C351" s="1"/>
      <c r="D351" s="1"/>
      <c r="E351" t="e">
        <f>+VLOOKUP(tbl_registro[[#This Row],[Patente]],Pivot_Equipos!$A$1:$E$39,3,FALSE)</f>
        <v>#N/A</v>
      </c>
      <c r="F351" s="2" t="e">
        <f>+VLOOKUP(tbl_registro[[#This Row],[Tipo Equipo]],Pivot_Equipos!$C$1:$E$39,2,FALSE)</f>
        <v>#N/A</v>
      </c>
      <c r="J351" s="2">
        <f t="shared" si="6"/>
        <v>0</v>
      </c>
    </row>
    <row r="352" spans="1:10" x14ac:dyDescent="0.3">
      <c r="A352" s="2"/>
      <c r="C352" s="1"/>
      <c r="D352" s="1"/>
      <c r="E352" t="e">
        <f>+VLOOKUP(tbl_registro[[#This Row],[Patente]],Pivot_Equipos!$A$1:$E$39,3,FALSE)</f>
        <v>#N/A</v>
      </c>
      <c r="F352" s="2" t="e">
        <f>+VLOOKUP(tbl_registro[[#This Row],[Tipo Equipo]],Pivot_Equipos!$C$1:$E$39,2,FALSE)</f>
        <v>#N/A</v>
      </c>
      <c r="J352" s="2">
        <f t="shared" si="6"/>
        <v>0</v>
      </c>
    </row>
    <row r="353" spans="1:10" x14ac:dyDescent="0.3">
      <c r="A353" s="2"/>
      <c r="C353" s="1"/>
      <c r="D353" s="1"/>
      <c r="E353" t="e">
        <f>+VLOOKUP(tbl_registro[[#This Row],[Patente]],Pivot_Equipos!$A$1:$E$39,3,FALSE)</f>
        <v>#N/A</v>
      </c>
      <c r="F353" s="2" t="e">
        <f>+VLOOKUP(tbl_registro[[#This Row],[Tipo Equipo]],Pivot_Equipos!$C$1:$E$39,2,FALSE)</f>
        <v>#N/A</v>
      </c>
      <c r="J353" s="2">
        <f t="shared" si="6"/>
        <v>0</v>
      </c>
    </row>
    <row r="354" spans="1:10" x14ac:dyDescent="0.3">
      <c r="A354" s="2"/>
      <c r="C354" s="1"/>
      <c r="D354" s="1"/>
      <c r="E354" t="e">
        <f>+VLOOKUP(tbl_registro[[#This Row],[Patente]],Pivot_Equipos!$A$1:$E$39,3,FALSE)</f>
        <v>#N/A</v>
      </c>
      <c r="F354" s="2" t="e">
        <f>+VLOOKUP(tbl_registro[[#This Row],[Tipo Equipo]],Pivot_Equipos!$C$1:$E$39,2,FALSE)</f>
        <v>#N/A</v>
      </c>
      <c r="J354" s="2">
        <f t="shared" si="6"/>
        <v>0</v>
      </c>
    </row>
    <row r="355" spans="1:10" x14ac:dyDescent="0.3">
      <c r="A355" s="2"/>
      <c r="C355" s="1"/>
      <c r="D355" s="1"/>
      <c r="E355" t="e">
        <f>+VLOOKUP(tbl_registro[[#This Row],[Patente]],Pivot_Equipos!$A$1:$E$39,3,FALSE)</f>
        <v>#N/A</v>
      </c>
      <c r="F355" s="2" t="e">
        <f>+VLOOKUP(tbl_registro[[#This Row],[Tipo Equipo]],Pivot_Equipos!$C$1:$E$39,2,FALSE)</f>
        <v>#N/A</v>
      </c>
      <c r="J355" s="2">
        <f t="shared" si="6"/>
        <v>0</v>
      </c>
    </row>
    <row r="356" spans="1:10" x14ac:dyDescent="0.3">
      <c r="A356" s="2"/>
      <c r="C356" s="1"/>
      <c r="D356" s="1"/>
      <c r="E356" t="e">
        <f>+VLOOKUP(tbl_registro[[#This Row],[Patente]],Pivot_Equipos!$A$1:$E$39,3,FALSE)</f>
        <v>#N/A</v>
      </c>
      <c r="F356" s="2" t="e">
        <f>+VLOOKUP(tbl_registro[[#This Row],[Tipo Equipo]],Pivot_Equipos!$C$1:$E$39,2,FALSE)</f>
        <v>#N/A</v>
      </c>
      <c r="J356" s="2">
        <f t="shared" si="6"/>
        <v>0</v>
      </c>
    </row>
    <row r="357" spans="1:10" x14ac:dyDescent="0.3">
      <c r="A357" s="2"/>
      <c r="C357" s="1"/>
      <c r="D357" s="1"/>
      <c r="E357" t="e">
        <f>+VLOOKUP(tbl_registro[[#This Row],[Patente]],Pivot_Equipos!$A$1:$E$39,3,FALSE)</f>
        <v>#N/A</v>
      </c>
      <c r="F357" s="2" t="e">
        <f>+VLOOKUP(tbl_registro[[#This Row],[Tipo Equipo]],Pivot_Equipos!$C$1:$E$39,2,FALSE)</f>
        <v>#N/A</v>
      </c>
      <c r="J357" s="2">
        <f t="shared" si="6"/>
        <v>0</v>
      </c>
    </row>
    <row r="358" spans="1:10" x14ac:dyDescent="0.3">
      <c r="A358" s="2"/>
      <c r="C358" s="1"/>
      <c r="D358" s="1"/>
      <c r="E358" t="e">
        <f>+VLOOKUP(tbl_registro[[#This Row],[Patente]],Pivot_Equipos!$A$1:$E$39,3,FALSE)</f>
        <v>#N/A</v>
      </c>
      <c r="F358" s="2" t="e">
        <f>+VLOOKUP(tbl_registro[[#This Row],[Tipo Equipo]],Pivot_Equipos!$C$1:$E$39,2,FALSE)</f>
        <v>#N/A</v>
      </c>
      <c r="J358" s="2">
        <f t="shared" si="6"/>
        <v>0</v>
      </c>
    </row>
    <row r="359" spans="1:10" x14ac:dyDescent="0.3">
      <c r="A359" s="2"/>
      <c r="C359" s="1"/>
      <c r="D359" s="1"/>
      <c r="E359" t="e">
        <f>+VLOOKUP(tbl_registro[[#This Row],[Patente]],Pivot_Equipos!$A$1:$E$39,3,FALSE)</f>
        <v>#N/A</v>
      </c>
      <c r="F359" s="2" t="e">
        <f>+VLOOKUP(tbl_registro[[#This Row],[Tipo Equipo]],Pivot_Equipos!$C$1:$E$39,2,FALSE)</f>
        <v>#N/A</v>
      </c>
      <c r="J359" s="2">
        <f t="shared" si="6"/>
        <v>0</v>
      </c>
    </row>
    <row r="360" spans="1:10" x14ac:dyDescent="0.3">
      <c r="A360" s="2"/>
      <c r="C360" s="1"/>
      <c r="D360" s="1"/>
      <c r="E360" t="e">
        <f>+VLOOKUP(tbl_registro[[#This Row],[Patente]],Pivot_Equipos!$A$1:$E$39,3,FALSE)</f>
        <v>#N/A</v>
      </c>
      <c r="F360" s="2" t="e">
        <f>+VLOOKUP(tbl_registro[[#This Row],[Tipo Equipo]],Pivot_Equipos!$C$1:$E$39,2,FALSE)</f>
        <v>#N/A</v>
      </c>
      <c r="J360" s="2">
        <f t="shared" si="6"/>
        <v>0</v>
      </c>
    </row>
    <row r="361" spans="1:10" x14ac:dyDescent="0.3">
      <c r="A361" s="2"/>
      <c r="C361" s="1"/>
      <c r="D361" s="1"/>
      <c r="E361" t="e">
        <f>+VLOOKUP(tbl_registro[[#This Row],[Patente]],Pivot_Equipos!$A$1:$E$39,3,FALSE)</f>
        <v>#N/A</v>
      </c>
      <c r="F361" s="2" t="e">
        <f>+VLOOKUP(tbl_registro[[#This Row],[Tipo Equipo]],Pivot_Equipos!$C$1:$E$39,2,FALSE)</f>
        <v>#N/A</v>
      </c>
      <c r="J361" s="2">
        <f t="shared" si="6"/>
        <v>0</v>
      </c>
    </row>
    <row r="362" spans="1:10" x14ac:dyDescent="0.3">
      <c r="A362" s="2"/>
      <c r="C362" s="1"/>
      <c r="D362" s="1"/>
      <c r="E362" t="e">
        <f>+VLOOKUP(tbl_registro[[#This Row],[Patente]],Pivot_Equipos!$A$1:$E$39,3,FALSE)</f>
        <v>#N/A</v>
      </c>
      <c r="F362" s="2" t="e">
        <f>+VLOOKUP(tbl_registro[[#This Row],[Tipo Equipo]],Pivot_Equipos!$C$1:$E$39,2,FALSE)</f>
        <v>#N/A</v>
      </c>
      <c r="J362" s="2">
        <f t="shared" si="6"/>
        <v>0</v>
      </c>
    </row>
    <row r="363" spans="1:10" x14ac:dyDescent="0.3">
      <c r="A363" s="2"/>
      <c r="C363" s="1"/>
      <c r="D363" s="1"/>
      <c r="E363" t="e">
        <f>+VLOOKUP(tbl_registro[[#This Row],[Patente]],Pivot_Equipos!$A$1:$E$39,3,FALSE)</f>
        <v>#N/A</v>
      </c>
      <c r="F363" s="2" t="e">
        <f>+VLOOKUP(tbl_registro[[#This Row],[Tipo Equipo]],Pivot_Equipos!$C$1:$E$39,2,FALSE)</f>
        <v>#N/A</v>
      </c>
      <c r="J363" s="2">
        <f t="shared" si="6"/>
        <v>0</v>
      </c>
    </row>
    <row r="364" spans="1:10" x14ac:dyDescent="0.3">
      <c r="A364" s="2"/>
      <c r="C364" s="1"/>
      <c r="D364" s="1"/>
      <c r="E364" t="e">
        <f>+VLOOKUP(tbl_registro[[#This Row],[Patente]],Pivot_Equipos!$A$1:$E$39,3,FALSE)</f>
        <v>#N/A</v>
      </c>
      <c r="F364" s="2" t="e">
        <f>+VLOOKUP(tbl_registro[[#This Row],[Tipo Equipo]],Pivot_Equipos!$C$1:$E$39,2,FALSE)</f>
        <v>#N/A</v>
      </c>
      <c r="J364" s="2">
        <f t="shared" si="6"/>
        <v>0</v>
      </c>
    </row>
    <row r="365" spans="1:10" x14ac:dyDescent="0.3">
      <c r="A365" s="2"/>
      <c r="C365" s="1"/>
      <c r="D365" s="1"/>
      <c r="E365" t="e">
        <f>+VLOOKUP(tbl_registro[[#This Row],[Patente]],Pivot_Equipos!$A$1:$E$39,3,FALSE)</f>
        <v>#N/A</v>
      </c>
      <c r="F365" s="2" t="e">
        <f>+VLOOKUP(tbl_registro[[#This Row],[Tipo Equipo]],Pivot_Equipos!$C$1:$E$39,2,FALSE)</f>
        <v>#N/A</v>
      </c>
      <c r="J365" s="2">
        <f t="shared" si="6"/>
        <v>0</v>
      </c>
    </row>
    <row r="366" spans="1:10" x14ac:dyDescent="0.3">
      <c r="A366" s="2"/>
      <c r="C366" s="1"/>
      <c r="D366" s="1"/>
      <c r="E366" t="e">
        <f>+VLOOKUP(tbl_registro[[#This Row],[Patente]],Pivot_Equipos!$A$1:$E$39,3,FALSE)</f>
        <v>#N/A</v>
      </c>
      <c r="F366" s="2" t="e">
        <f>+VLOOKUP(tbl_registro[[#This Row],[Tipo Equipo]],Pivot_Equipos!$C$1:$E$39,2,FALSE)</f>
        <v>#N/A</v>
      </c>
      <c r="J366" s="2">
        <f t="shared" si="6"/>
        <v>0</v>
      </c>
    </row>
    <row r="367" spans="1:10" x14ac:dyDescent="0.3">
      <c r="A367" s="2"/>
      <c r="C367" s="1"/>
      <c r="D367" s="1"/>
      <c r="E367" t="e">
        <f>+VLOOKUP(tbl_registro[[#This Row],[Patente]],Pivot_Equipos!$A$1:$E$39,3,FALSE)</f>
        <v>#N/A</v>
      </c>
      <c r="F367" s="2" t="e">
        <f>+VLOOKUP(tbl_registro[[#This Row],[Tipo Equipo]],Pivot_Equipos!$C$1:$E$39,2,FALSE)</f>
        <v>#N/A</v>
      </c>
      <c r="J367" s="2">
        <f t="shared" si="6"/>
        <v>0</v>
      </c>
    </row>
    <row r="368" spans="1:10" x14ac:dyDescent="0.3">
      <c r="A368" s="2"/>
      <c r="C368" s="1"/>
      <c r="D368" s="1"/>
      <c r="E368" t="e">
        <f>+VLOOKUP(tbl_registro[[#This Row],[Patente]],Pivot_Equipos!$A$1:$E$39,3,FALSE)</f>
        <v>#N/A</v>
      </c>
      <c r="F368" s="2" t="e">
        <f>+VLOOKUP(tbl_registro[[#This Row],[Tipo Equipo]],Pivot_Equipos!$C$1:$E$39,2,FALSE)</f>
        <v>#N/A</v>
      </c>
      <c r="J368" s="2">
        <f t="shared" si="6"/>
        <v>0</v>
      </c>
    </row>
    <row r="369" spans="1:10" x14ac:dyDescent="0.3">
      <c r="A369" s="2"/>
      <c r="C369" s="1"/>
      <c r="D369" s="1"/>
      <c r="E369" t="e">
        <f>+VLOOKUP(tbl_registro[[#This Row],[Patente]],Pivot_Equipos!$A$1:$E$39,3,FALSE)</f>
        <v>#N/A</v>
      </c>
      <c r="F369" s="2" t="e">
        <f>+VLOOKUP(tbl_registro[[#This Row],[Tipo Equipo]],Pivot_Equipos!$C$1:$E$39,2,FALSE)</f>
        <v>#N/A</v>
      </c>
      <c r="J369" s="2">
        <f t="shared" si="6"/>
        <v>0</v>
      </c>
    </row>
    <row r="370" spans="1:10" x14ac:dyDescent="0.3">
      <c r="A370" s="2"/>
      <c r="C370" s="1"/>
      <c r="D370" s="1"/>
      <c r="E370" t="e">
        <f>+VLOOKUP(tbl_registro[[#This Row],[Patente]],Pivot_Equipos!$A$1:$E$39,3,FALSE)</f>
        <v>#N/A</v>
      </c>
      <c r="F370" s="2" t="e">
        <f>+VLOOKUP(tbl_registro[[#This Row],[Tipo Equipo]],Pivot_Equipos!$C$1:$E$39,2,FALSE)</f>
        <v>#N/A</v>
      </c>
      <c r="J370" s="2">
        <f t="shared" si="6"/>
        <v>0</v>
      </c>
    </row>
    <row r="371" spans="1:10" x14ac:dyDescent="0.3">
      <c r="A371" s="2"/>
      <c r="C371" s="1"/>
      <c r="D371" s="1"/>
      <c r="E371" t="e">
        <f>+VLOOKUP(tbl_registro[[#This Row],[Patente]],Pivot_Equipos!$A$1:$E$39,3,FALSE)</f>
        <v>#N/A</v>
      </c>
      <c r="F371" s="2" t="e">
        <f>+VLOOKUP(tbl_registro[[#This Row],[Tipo Equipo]],Pivot_Equipos!$C$1:$E$39,2,FALSE)</f>
        <v>#N/A</v>
      </c>
      <c r="J371" s="2">
        <f t="shared" si="6"/>
        <v>0</v>
      </c>
    </row>
    <row r="372" spans="1:10" x14ac:dyDescent="0.3">
      <c r="A372" s="2"/>
      <c r="C372" s="1"/>
      <c r="D372" s="1"/>
      <c r="E372" t="e">
        <f>+VLOOKUP(tbl_registro[[#This Row],[Patente]],Pivot_Equipos!$A$1:$E$39,3,FALSE)</f>
        <v>#N/A</v>
      </c>
      <c r="F372" s="2" t="e">
        <f>+VLOOKUP(tbl_registro[[#This Row],[Tipo Equipo]],Pivot_Equipos!$C$1:$E$39,2,FALSE)</f>
        <v>#N/A</v>
      </c>
      <c r="J372" s="2">
        <f t="shared" si="6"/>
        <v>0</v>
      </c>
    </row>
    <row r="373" spans="1:10" x14ac:dyDescent="0.3">
      <c r="A373" s="2"/>
      <c r="C373" s="1"/>
      <c r="D373" s="1"/>
      <c r="E373" t="e">
        <f>+VLOOKUP(tbl_registro[[#This Row],[Patente]],Pivot_Equipos!$A$1:$E$39,3,FALSE)</f>
        <v>#N/A</v>
      </c>
      <c r="F373" s="2" t="e">
        <f>+VLOOKUP(tbl_registro[[#This Row],[Tipo Equipo]],Pivot_Equipos!$C$1:$E$39,2,FALSE)</f>
        <v>#N/A</v>
      </c>
      <c r="J373" s="2">
        <f t="shared" si="6"/>
        <v>0</v>
      </c>
    </row>
    <row r="374" spans="1:10" x14ac:dyDescent="0.3">
      <c r="A374" s="2"/>
      <c r="C374" s="1"/>
      <c r="D374" s="1"/>
      <c r="E374" t="e">
        <f>+VLOOKUP(tbl_registro[[#This Row],[Patente]],Pivot_Equipos!$A$1:$E$39,3,FALSE)</f>
        <v>#N/A</v>
      </c>
      <c r="F374" s="2" t="e">
        <f>+VLOOKUP(tbl_registro[[#This Row],[Tipo Equipo]],Pivot_Equipos!$C$1:$E$39,2,FALSE)</f>
        <v>#N/A</v>
      </c>
      <c r="J374" s="2">
        <f t="shared" si="6"/>
        <v>0</v>
      </c>
    </row>
    <row r="375" spans="1:10" x14ac:dyDescent="0.3">
      <c r="A375" s="2"/>
      <c r="C375" s="1"/>
      <c r="D375" s="1"/>
      <c r="E375" t="e">
        <f>+VLOOKUP(tbl_registro[[#This Row],[Patente]],Pivot_Equipos!$A$1:$E$39,3,FALSE)</f>
        <v>#N/A</v>
      </c>
      <c r="F375" s="2" t="e">
        <f>+VLOOKUP(tbl_registro[[#This Row],[Tipo Equipo]],Pivot_Equipos!$C$1:$E$39,2,FALSE)</f>
        <v>#N/A</v>
      </c>
      <c r="J375" s="2">
        <f t="shared" si="6"/>
        <v>0</v>
      </c>
    </row>
    <row r="376" spans="1:10" x14ac:dyDescent="0.3">
      <c r="A376" s="2"/>
      <c r="C376" s="1"/>
      <c r="D376" s="1"/>
      <c r="E376" t="e">
        <f>+VLOOKUP(tbl_registro[[#This Row],[Patente]],Pivot_Equipos!$A$1:$E$39,3,FALSE)</f>
        <v>#N/A</v>
      </c>
      <c r="F376" s="2" t="e">
        <f>+VLOOKUP(tbl_registro[[#This Row],[Tipo Equipo]],Pivot_Equipos!$C$1:$E$39,2,FALSE)</f>
        <v>#N/A</v>
      </c>
      <c r="J376" s="2">
        <f t="shared" si="6"/>
        <v>0</v>
      </c>
    </row>
    <row r="377" spans="1:10" x14ac:dyDescent="0.3">
      <c r="A377" s="2"/>
      <c r="C377" s="1"/>
      <c r="D377" s="1"/>
      <c r="E377" t="e">
        <f>+VLOOKUP(tbl_registro[[#This Row],[Patente]],Pivot_Equipos!$A$1:$E$39,3,FALSE)</f>
        <v>#N/A</v>
      </c>
      <c r="F377" s="2" t="e">
        <f>+VLOOKUP(tbl_registro[[#This Row],[Tipo Equipo]],Pivot_Equipos!$C$1:$E$39,2,FALSE)</f>
        <v>#N/A</v>
      </c>
      <c r="J377" s="2">
        <f t="shared" si="6"/>
        <v>0</v>
      </c>
    </row>
    <row r="378" spans="1:10" x14ac:dyDescent="0.3">
      <c r="A378" s="2"/>
      <c r="C378" s="1"/>
      <c r="D378" s="1"/>
      <c r="E378" t="e">
        <f>+VLOOKUP(tbl_registro[[#This Row],[Patente]],Pivot_Equipos!$A$1:$E$39,3,FALSE)</f>
        <v>#N/A</v>
      </c>
      <c r="F378" s="2" t="e">
        <f>+VLOOKUP(tbl_registro[[#This Row],[Tipo Equipo]],Pivot_Equipos!$C$1:$E$39,2,FALSE)</f>
        <v>#N/A</v>
      </c>
      <c r="J378" s="2">
        <f t="shared" si="6"/>
        <v>0</v>
      </c>
    </row>
    <row r="379" spans="1:10" x14ac:dyDescent="0.3">
      <c r="A379" s="2"/>
      <c r="C379" s="1"/>
      <c r="D379" s="1"/>
      <c r="E379" t="e">
        <f>+VLOOKUP(tbl_registro[[#This Row],[Patente]],Pivot_Equipos!$A$1:$E$39,3,FALSE)</f>
        <v>#N/A</v>
      </c>
      <c r="F379" s="2" t="e">
        <f>+VLOOKUP(tbl_registro[[#This Row],[Tipo Equipo]],Pivot_Equipos!$C$1:$E$39,2,FALSE)</f>
        <v>#N/A</v>
      </c>
      <c r="J379" s="2">
        <f t="shared" si="6"/>
        <v>0</v>
      </c>
    </row>
    <row r="380" spans="1:10" x14ac:dyDescent="0.3">
      <c r="A380" s="2"/>
      <c r="C380" s="1"/>
      <c r="D380" s="1"/>
      <c r="E380" t="e">
        <f>+VLOOKUP(tbl_registro[[#This Row],[Patente]],Pivot_Equipos!$A$1:$E$39,3,FALSE)</f>
        <v>#N/A</v>
      </c>
      <c r="F380" s="2" t="e">
        <f>+VLOOKUP(tbl_registro[[#This Row],[Tipo Equipo]],Pivot_Equipos!$C$1:$E$39,2,FALSE)</f>
        <v>#N/A</v>
      </c>
      <c r="J380" s="2">
        <f t="shared" si="6"/>
        <v>0</v>
      </c>
    </row>
    <row r="381" spans="1:10" x14ac:dyDescent="0.3">
      <c r="A381" s="2"/>
      <c r="C381" s="1"/>
      <c r="D381" s="1"/>
      <c r="E381" t="e">
        <f>+VLOOKUP(tbl_registro[[#This Row],[Patente]],Pivot_Equipos!$A$1:$E$39,3,FALSE)</f>
        <v>#N/A</v>
      </c>
      <c r="F381" s="2" t="e">
        <f>+VLOOKUP(tbl_registro[[#This Row],[Tipo Equipo]],Pivot_Equipos!$C$1:$E$39,2,FALSE)</f>
        <v>#N/A</v>
      </c>
      <c r="J381" s="2">
        <f t="shared" si="6"/>
        <v>0</v>
      </c>
    </row>
    <row r="382" spans="1:10" x14ac:dyDescent="0.3">
      <c r="A382" s="2"/>
      <c r="C382" s="1"/>
      <c r="D382" s="1"/>
      <c r="E382" t="e">
        <f>+VLOOKUP(tbl_registro[[#This Row],[Patente]],Pivot_Equipos!$A$1:$E$39,3,FALSE)</f>
        <v>#N/A</v>
      </c>
      <c r="F382" s="2" t="e">
        <f>+VLOOKUP(tbl_registro[[#This Row],[Tipo Equipo]],Pivot_Equipos!$C$1:$E$39,2,FALSE)</f>
        <v>#N/A</v>
      </c>
      <c r="J382" s="2">
        <f t="shared" si="6"/>
        <v>0</v>
      </c>
    </row>
    <row r="383" spans="1:10" x14ac:dyDescent="0.3">
      <c r="A383" s="2"/>
      <c r="C383" s="1"/>
      <c r="D383" s="1"/>
      <c r="E383" t="e">
        <f>+VLOOKUP(tbl_registro[[#This Row],[Patente]],Pivot_Equipos!$A$1:$E$39,3,FALSE)</f>
        <v>#N/A</v>
      </c>
      <c r="F383" s="2" t="e">
        <f>+VLOOKUP(tbl_registro[[#This Row],[Tipo Equipo]],Pivot_Equipos!$C$1:$E$39,2,FALSE)</f>
        <v>#N/A</v>
      </c>
      <c r="J383" s="2">
        <f t="shared" si="6"/>
        <v>0</v>
      </c>
    </row>
    <row r="384" spans="1:10" x14ac:dyDescent="0.3">
      <c r="A384" s="2"/>
      <c r="C384" s="1"/>
      <c r="D384" s="1"/>
      <c r="E384" t="e">
        <f>+VLOOKUP(tbl_registro[[#This Row],[Patente]],Pivot_Equipos!$A$1:$E$39,3,FALSE)</f>
        <v>#N/A</v>
      </c>
      <c r="F384" s="2" t="e">
        <f>+VLOOKUP(tbl_registro[[#This Row],[Tipo Equipo]],Pivot_Equipos!$C$1:$E$39,2,FALSE)</f>
        <v>#N/A</v>
      </c>
      <c r="J384" s="2">
        <f t="shared" si="6"/>
        <v>0</v>
      </c>
    </row>
    <row r="385" spans="1:10" x14ac:dyDescent="0.3">
      <c r="A385" s="2"/>
      <c r="C385" s="1"/>
      <c r="D385" s="1"/>
      <c r="E385" t="e">
        <f>+VLOOKUP(tbl_registro[[#This Row],[Patente]],Pivot_Equipos!$A$1:$E$39,3,FALSE)</f>
        <v>#N/A</v>
      </c>
      <c r="F385" s="2" t="e">
        <f>+VLOOKUP(tbl_registro[[#This Row],[Tipo Equipo]],Pivot_Equipos!$C$1:$E$39,2,FALSE)</f>
        <v>#N/A</v>
      </c>
      <c r="J385" s="2">
        <f t="shared" si="6"/>
        <v>0</v>
      </c>
    </row>
    <row r="386" spans="1:10" x14ac:dyDescent="0.3">
      <c r="A386" s="2"/>
      <c r="C386" s="1"/>
      <c r="D386" s="1"/>
      <c r="E386" t="e">
        <f>+VLOOKUP(tbl_registro[[#This Row],[Patente]],Pivot_Equipos!$A$1:$E$39,3,FALSE)</f>
        <v>#N/A</v>
      </c>
      <c r="F386" s="2" t="e">
        <f>+VLOOKUP(tbl_registro[[#This Row],[Tipo Equipo]],Pivot_Equipos!$C$1:$E$39,2,FALSE)</f>
        <v>#N/A</v>
      </c>
      <c r="J386" s="2">
        <f t="shared" ref="J386:J449" si="7">I386-H386</f>
        <v>0</v>
      </c>
    </row>
    <row r="387" spans="1:10" x14ac:dyDescent="0.3">
      <c r="A387" s="2"/>
      <c r="C387" s="1"/>
      <c r="D387" s="1"/>
      <c r="E387" t="e">
        <f>+VLOOKUP(tbl_registro[[#This Row],[Patente]],Pivot_Equipos!$A$1:$E$39,3,FALSE)</f>
        <v>#N/A</v>
      </c>
      <c r="F387" s="2" t="e">
        <f>+VLOOKUP(tbl_registro[[#This Row],[Tipo Equipo]],Pivot_Equipos!$C$1:$E$39,2,FALSE)</f>
        <v>#N/A</v>
      </c>
      <c r="J387" s="2">
        <f t="shared" si="7"/>
        <v>0</v>
      </c>
    </row>
    <row r="388" spans="1:10" x14ac:dyDescent="0.3">
      <c r="A388" s="2"/>
      <c r="C388" s="1"/>
      <c r="D388" s="1"/>
      <c r="E388" t="e">
        <f>+VLOOKUP(tbl_registro[[#This Row],[Patente]],Pivot_Equipos!$A$1:$E$39,3,FALSE)</f>
        <v>#N/A</v>
      </c>
      <c r="F388" s="2" t="e">
        <f>+VLOOKUP(tbl_registro[[#This Row],[Tipo Equipo]],Pivot_Equipos!$C$1:$E$39,2,FALSE)</f>
        <v>#N/A</v>
      </c>
      <c r="J388" s="2">
        <f t="shared" si="7"/>
        <v>0</v>
      </c>
    </row>
    <row r="389" spans="1:10" x14ac:dyDescent="0.3">
      <c r="A389" s="2"/>
      <c r="C389" s="1"/>
      <c r="D389" s="1"/>
      <c r="E389" t="e">
        <f>+VLOOKUP(tbl_registro[[#This Row],[Patente]],Pivot_Equipos!$A$1:$E$39,3,FALSE)</f>
        <v>#N/A</v>
      </c>
      <c r="F389" s="2" t="e">
        <f>+VLOOKUP(tbl_registro[[#This Row],[Tipo Equipo]],Pivot_Equipos!$C$1:$E$39,2,FALSE)</f>
        <v>#N/A</v>
      </c>
      <c r="J389" s="2">
        <f t="shared" si="7"/>
        <v>0</v>
      </c>
    </row>
    <row r="390" spans="1:10" x14ac:dyDescent="0.3">
      <c r="A390" s="2"/>
      <c r="C390" s="1"/>
      <c r="D390" s="1"/>
      <c r="E390" t="e">
        <f>+VLOOKUP(tbl_registro[[#This Row],[Patente]],Pivot_Equipos!$A$1:$E$39,3,FALSE)</f>
        <v>#N/A</v>
      </c>
      <c r="F390" s="2" t="e">
        <f>+VLOOKUP(tbl_registro[[#This Row],[Tipo Equipo]],Pivot_Equipos!$C$1:$E$39,2,FALSE)</f>
        <v>#N/A</v>
      </c>
      <c r="J390" s="2">
        <f t="shared" si="7"/>
        <v>0</v>
      </c>
    </row>
    <row r="391" spans="1:10" x14ac:dyDescent="0.3">
      <c r="A391" s="2"/>
      <c r="C391" s="1"/>
      <c r="D391" s="1"/>
      <c r="E391" t="e">
        <f>+VLOOKUP(tbl_registro[[#This Row],[Patente]],Pivot_Equipos!$A$1:$E$39,3,FALSE)</f>
        <v>#N/A</v>
      </c>
      <c r="F391" s="2" t="e">
        <f>+VLOOKUP(tbl_registro[[#This Row],[Tipo Equipo]],Pivot_Equipos!$C$1:$E$39,2,FALSE)</f>
        <v>#N/A</v>
      </c>
      <c r="J391" s="2">
        <f t="shared" si="7"/>
        <v>0</v>
      </c>
    </row>
    <row r="392" spans="1:10" x14ac:dyDescent="0.3">
      <c r="A392" s="2"/>
      <c r="C392" s="1"/>
      <c r="D392" s="1"/>
      <c r="E392" t="e">
        <f>+VLOOKUP(tbl_registro[[#This Row],[Patente]],Pivot_Equipos!$A$1:$E$39,3,FALSE)</f>
        <v>#N/A</v>
      </c>
      <c r="F392" s="2" t="e">
        <f>+VLOOKUP(tbl_registro[[#This Row],[Tipo Equipo]],Pivot_Equipos!$C$1:$E$39,2,FALSE)</f>
        <v>#N/A</v>
      </c>
      <c r="J392" s="2">
        <f t="shared" si="7"/>
        <v>0</v>
      </c>
    </row>
    <row r="393" spans="1:10" x14ac:dyDescent="0.3">
      <c r="A393" s="2"/>
      <c r="C393" s="1"/>
      <c r="D393" s="1"/>
      <c r="E393" t="e">
        <f>+VLOOKUP(tbl_registro[[#This Row],[Patente]],Pivot_Equipos!$A$1:$E$39,3,FALSE)</f>
        <v>#N/A</v>
      </c>
      <c r="F393" s="2" t="e">
        <f>+VLOOKUP(tbl_registro[[#This Row],[Tipo Equipo]],Pivot_Equipos!$C$1:$E$39,2,FALSE)</f>
        <v>#N/A</v>
      </c>
      <c r="J393" s="2">
        <f t="shared" si="7"/>
        <v>0</v>
      </c>
    </row>
    <row r="394" spans="1:10" x14ac:dyDescent="0.3">
      <c r="A394" s="2"/>
      <c r="C394" s="1"/>
      <c r="D394" s="1"/>
      <c r="E394" t="e">
        <f>+VLOOKUP(tbl_registro[[#This Row],[Patente]],Pivot_Equipos!$A$1:$E$39,3,FALSE)</f>
        <v>#N/A</v>
      </c>
      <c r="F394" s="2" t="e">
        <f>+VLOOKUP(tbl_registro[[#This Row],[Tipo Equipo]],Pivot_Equipos!$C$1:$E$39,2,FALSE)</f>
        <v>#N/A</v>
      </c>
      <c r="J394" s="2">
        <f t="shared" si="7"/>
        <v>0</v>
      </c>
    </row>
    <row r="395" spans="1:10" x14ac:dyDescent="0.3">
      <c r="A395" s="2"/>
      <c r="C395" s="1"/>
      <c r="D395" s="1"/>
      <c r="E395" t="e">
        <f>+VLOOKUP(tbl_registro[[#This Row],[Patente]],Pivot_Equipos!$A$1:$E$39,3,FALSE)</f>
        <v>#N/A</v>
      </c>
      <c r="F395" s="2" t="e">
        <f>+VLOOKUP(tbl_registro[[#This Row],[Tipo Equipo]],Pivot_Equipos!$C$1:$E$39,2,FALSE)</f>
        <v>#N/A</v>
      </c>
      <c r="J395" s="2">
        <f t="shared" si="7"/>
        <v>0</v>
      </c>
    </row>
    <row r="396" spans="1:10" x14ac:dyDescent="0.3">
      <c r="A396" s="2"/>
      <c r="C396" s="1"/>
      <c r="D396" s="1"/>
      <c r="E396" t="e">
        <f>+VLOOKUP(tbl_registro[[#This Row],[Patente]],Pivot_Equipos!$A$1:$E$39,3,FALSE)</f>
        <v>#N/A</v>
      </c>
      <c r="F396" s="2" t="e">
        <f>+VLOOKUP(tbl_registro[[#This Row],[Tipo Equipo]],Pivot_Equipos!$C$1:$E$39,2,FALSE)</f>
        <v>#N/A</v>
      </c>
      <c r="J396" s="2">
        <f t="shared" si="7"/>
        <v>0</v>
      </c>
    </row>
    <row r="397" spans="1:10" x14ac:dyDescent="0.3">
      <c r="A397" s="2"/>
      <c r="C397" s="1"/>
      <c r="D397" s="1"/>
      <c r="E397" t="e">
        <f>+VLOOKUP(tbl_registro[[#This Row],[Patente]],Pivot_Equipos!$A$1:$E$39,3,FALSE)</f>
        <v>#N/A</v>
      </c>
      <c r="F397" s="2" t="e">
        <f>+VLOOKUP(tbl_registro[[#This Row],[Tipo Equipo]],Pivot_Equipos!$C$1:$E$39,2,FALSE)</f>
        <v>#N/A</v>
      </c>
      <c r="J397" s="2">
        <f t="shared" si="7"/>
        <v>0</v>
      </c>
    </row>
    <row r="398" spans="1:10" x14ac:dyDescent="0.3">
      <c r="A398" s="2"/>
      <c r="C398" s="1"/>
      <c r="D398" s="1"/>
      <c r="E398" t="e">
        <f>+VLOOKUP(tbl_registro[[#This Row],[Patente]],Pivot_Equipos!$A$1:$E$39,3,FALSE)</f>
        <v>#N/A</v>
      </c>
      <c r="F398" s="2" t="e">
        <f>+VLOOKUP(tbl_registro[[#This Row],[Tipo Equipo]],Pivot_Equipos!$C$1:$E$39,2,FALSE)</f>
        <v>#N/A</v>
      </c>
      <c r="J398" s="2">
        <f t="shared" si="7"/>
        <v>0</v>
      </c>
    </row>
    <row r="399" spans="1:10" x14ac:dyDescent="0.3">
      <c r="A399" s="2"/>
      <c r="C399" s="1"/>
      <c r="D399" s="1"/>
      <c r="E399" t="e">
        <f>+VLOOKUP(tbl_registro[[#This Row],[Patente]],Pivot_Equipos!$A$1:$E$39,3,FALSE)</f>
        <v>#N/A</v>
      </c>
      <c r="F399" s="2" t="e">
        <f>+VLOOKUP(tbl_registro[[#This Row],[Tipo Equipo]],Pivot_Equipos!$C$1:$E$39,2,FALSE)</f>
        <v>#N/A</v>
      </c>
      <c r="J399" s="2">
        <f t="shared" si="7"/>
        <v>0</v>
      </c>
    </row>
    <row r="400" spans="1:10" x14ac:dyDescent="0.3">
      <c r="A400" s="2"/>
      <c r="C400" s="1"/>
      <c r="D400" s="1"/>
      <c r="E400" t="e">
        <f>+VLOOKUP(tbl_registro[[#This Row],[Patente]],Pivot_Equipos!$A$1:$E$39,3,FALSE)</f>
        <v>#N/A</v>
      </c>
      <c r="F400" s="2" t="e">
        <f>+VLOOKUP(tbl_registro[[#This Row],[Tipo Equipo]],Pivot_Equipos!$C$1:$E$39,2,FALSE)</f>
        <v>#N/A</v>
      </c>
      <c r="J400" s="2">
        <f t="shared" si="7"/>
        <v>0</v>
      </c>
    </row>
    <row r="401" spans="1:10" x14ac:dyDescent="0.3">
      <c r="A401" s="2"/>
      <c r="C401" s="1"/>
      <c r="D401" s="1"/>
      <c r="E401" t="e">
        <f>+VLOOKUP(tbl_registro[[#This Row],[Patente]],Pivot_Equipos!$A$1:$E$39,3,FALSE)</f>
        <v>#N/A</v>
      </c>
      <c r="F401" s="2" t="e">
        <f>+VLOOKUP(tbl_registro[[#This Row],[Tipo Equipo]],Pivot_Equipos!$C$1:$E$39,2,FALSE)</f>
        <v>#N/A</v>
      </c>
      <c r="J401" s="2">
        <f t="shared" si="7"/>
        <v>0</v>
      </c>
    </row>
    <row r="402" spans="1:10" x14ac:dyDescent="0.3">
      <c r="A402" s="2"/>
      <c r="C402" s="1"/>
      <c r="D402" s="1"/>
      <c r="E402" t="e">
        <f>+VLOOKUP(tbl_registro[[#This Row],[Patente]],Pivot_Equipos!$A$1:$E$39,3,FALSE)</f>
        <v>#N/A</v>
      </c>
      <c r="F402" s="2" t="e">
        <f>+VLOOKUP(tbl_registro[[#This Row],[Tipo Equipo]],Pivot_Equipos!$C$1:$E$39,2,FALSE)</f>
        <v>#N/A</v>
      </c>
      <c r="J402" s="2">
        <f t="shared" si="7"/>
        <v>0</v>
      </c>
    </row>
    <row r="403" spans="1:10" x14ac:dyDescent="0.3">
      <c r="A403" s="2"/>
      <c r="C403" s="1"/>
      <c r="D403" s="1"/>
      <c r="E403" t="e">
        <f>+VLOOKUP(tbl_registro[[#This Row],[Patente]],Pivot_Equipos!$A$1:$E$39,3,FALSE)</f>
        <v>#N/A</v>
      </c>
      <c r="F403" s="2" t="e">
        <f>+VLOOKUP(tbl_registro[[#This Row],[Tipo Equipo]],Pivot_Equipos!$C$1:$E$39,2,FALSE)</f>
        <v>#N/A</v>
      </c>
      <c r="J403" s="2">
        <f t="shared" si="7"/>
        <v>0</v>
      </c>
    </row>
    <row r="404" spans="1:10" x14ac:dyDescent="0.3">
      <c r="A404" s="2"/>
      <c r="C404" s="1"/>
      <c r="D404" s="1"/>
      <c r="E404" t="e">
        <f>+VLOOKUP(tbl_registro[[#This Row],[Patente]],Pivot_Equipos!$A$1:$E$39,3,FALSE)</f>
        <v>#N/A</v>
      </c>
      <c r="F404" s="2" t="e">
        <f>+VLOOKUP(tbl_registro[[#This Row],[Tipo Equipo]],Pivot_Equipos!$C$1:$E$39,2,FALSE)</f>
        <v>#N/A</v>
      </c>
      <c r="J404" s="2">
        <f t="shared" si="7"/>
        <v>0</v>
      </c>
    </row>
    <row r="405" spans="1:10" x14ac:dyDescent="0.3">
      <c r="A405" s="2"/>
      <c r="C405" s="1"/>
      <c r="D405" s="1"/>
      <c r="E405" t="e">
        <f>+VLOOKUP(tbl_registro[[#This Row],[Patente]],Pivot_Equipos!$A$1:$E$39,3,FALSE)</f>
        <v>#N/A</v>
      </c>
      <c r="F405" s="2" t="e">
        <f>+VLOOKUP(tbl_registro[[#This Row],[Tipo Equipo]],Pivot_Equipos!$C$1:$E$39,2,FALSE)</f>
        <v>#N/A</v>
      </c>
      <c r="J405" s="2">
        <f t="shared" si="7"/>
        <v>0</v>
      </c>
    </row>
    <row r="406" spans="1:10" x14ac:dyDescent="0.3">
      <c r="A406" s="2"/>
      <c r="C406" s="1"/>
      <c r="D406" s="1"/>
      <c r="E406" t="e">
        <f>+VLOOKUP(tbl_registro[[#This Row],[Patente]],Pivot_Equipos!$A$1:$E$39,3,FALSE)</f>
        <v>#N/A</v>
      </c>
      <c r="F406" s="2" t="e">
        <f>+VLOOKUP(tbl_registro[[#This Row],[Tipo Equipo]],Pivot_Equipos!$C$1:$E$39,2,FALSE)</f>
        <v>#N/A</v>
      </c>
      <c r="J406" s="2">
        <f t="shared" si="7"/>
        <v>0</v>
      </c>
    </row>
    <row r="407" spans="1:10" x14ac:dyDescent="0.3">
      <c r="A407" s="2"/>
      <c r="C407" s="1"/>
      <c r="D407" s="1"/>
      <c r="E407" t="e">
        <f>+VLOOKUP(tbl_registro[[#This Row],[Patente]],Pivot_Equipos!$A$1:$E$39,3,FALSE)</f>
        <v>#N/A</v>
      </c>
      <c r="F407" s="2" t="e">
        <f>+VLOOKUP(tbl_registro[[#This Row],[Tipo Equipo]],Pivot_Equipos!$C$1:$E$39,2,FALSE)</f>
        <v>#N/A</v>
      </c>
      <c r="J407" s="2">
        <f t="shared" si="7"/>
        <v>0</v>
      </c>
    </row>
    <row r="408" spans="1:10" x14ac:dyDescent="0.3">
      <c r="A408" s="2"/>
      <c r="C408" s="1"/>
      <c r="D408" s="1"/>
      <c r="E408" t="e">
        <f>+VLOOKUP(tbl_registro[[#This Row],[Patente]],Pivot_Equipos!$A$1:$E$39,3,FALSE)</f>
        <v>#N/A</v>
      </c>
      <c r="F408" s="2" t="e">
        <f>+VLOOKUP(tbl_registro[[#This Row],[Tipo Equipo]],Pivot_Equipos!$C$1:$E$39,2,FALSE)</f>
        <v>#N/A</v>
      </c>
      <c r="J408" s="2">
        <f t="shared" si="7"/>
        <v>0</v>
      </c>
    </row>
    <row r="409" spans="1:10" x14ac:dyDescent="0.3">
      <c r="A409" s="2"/>
      <c r="C409" s="1"/>
      <c r="D409" s="1"/>
      <c r="E409" t="e">
        <f>+VLOOKUP(tbl_registro[[#This Row],[Patente]],Pivot_Equipos!$A$1:$E$39,3,FALSE)</f>
        <v>#N/A</v>
      </c>
      <c r="F409" s="2" t="e">
        <f>+VLOOKUP(tbl_registro[[#This Row],[Tipo Equipo]],Pivot_Equipos!$C$1:$E$39,2,FALSE)</f>
        <v>#N/A</v>
      </c>
      <c r="J409" s="2">
        <f t="shared" si="7"/>
        <v>0</v>
      </c>
    </row>
    <row r="410" spans="1:10" x14ac:dyDescent="0.3">
      <c r="A410" s="2"/>
      <c r="C410" s="1"/>
      <c r="D410" s="1"/>
      <c r="E410" t="e">
        <f>+VLOOKUP(tbl_registro[[#This Row],[Patente]],Pivot_Equipos!$A$1:$E$39,3,FALSE)</f>
        <v>#N/A</v>
      </c>
      <c r="F410" s="2" t="e">
        <f>+VLOOKUP(tbl_registro[[#This Row],[Tipo Equipo]],Pivot_Equipos!$C$1:$E$39,2,FALSE)</f>
        <v>#N/A</v>
      </c>
      <c r="J410" s="2">
        <f t="shared" si="7"/>
        <v>0</v>
      </c>
    </row>
    <row r="411" spans="1:10" x14ac:dyDescent="0.3">
      <c r="A411" s="2"/>
      <c r="C411" s="1"/>
      <c r="D411" s="1"/>
      <c r="E411" t="e">
        <f>+VLOOKUP(tbl_registro[[#This Row],[Patente]],Pivot_Equipos!$A$1:$E$39,3,FALSE)</f>
        <v>#N/A</v>
      </c>
      <c r="F411" s="2" t="e">
        <f>+VLOOKUP(tbl_registro[[#This Row],[Tipo Equipo]],Pivot_Equipos!$C$1:$E$39,2,FALSE)</f>
        <v>#N/A</v>
      </c>
      <c r="J411" s="2">
        <f t="shared" si="7"/>
        <v>0</v>
      </c>
    </row>
    <row r="412" spans="1:10" x14ac:dyDescent="0.3">
      <c r="A412" s="2"/>
      <c r="C412" s="1"/>
      <c r="D412" s="1"/>
      <c r="E412" t="e">
        <f>+VLOOKUP(tbl_registro[[#This Row],[Patente]],Pivot_Equipos!$A$1:$E$39,3,FALSE)</f>
        <v>#N/A</v>
      </c>
      <c r="F412" s="2" t="e">
        <f>+VLOOKUP(tbl_registro[[#This Row],[Tipo Equipo]],Pivot_Equipos!$C$1:$E$39,2,FALSE)</f>
        <v>#N/A</v>
      </c>
      <c r="J412" s="2">
        <f t="shared" si="7"/>
        <v>0</v>
      </c>
    </row>
    <row r="413" spans="1:10" x14ac:dyDescent="0.3">
      <c r="A413" s="2"/>
      <c r="C413" s="1"/>
      <c r="D413" s="1"/>
      <c r="E413" t="e">
        <f>+VLOOKUP(tbl_registro[[#This Row],[Patente]],Pivot_Equipos!$A$1:$E$39,3,FALSE)</f>
        <v>#N/A</v>
      </c>
      <c r="F413" s="2" t="e">
        <f>+VLOOKUP(tbl_registro[[#This Row],[Tipo Equipo]],Pivot_Equipos!$C$1:$E$39,2,FALSE)</f>
        <v>#N/A</v>
      </c>
      <c r="J413" s="2">
        <f t="shared" si="7"/>
        <v>0</v>
      </c>
    </row>
    <row r="414" spans="1:10" x14ac:dyDescent="0.3">
      <c r="A414" s="2"/>
      <c r="C414" s="1"/>
      <c r="D414" s="1"/>
      <c r="E414" t="e">
        <f>+VLOOKUP(tbl_registro[[#This Row],[Patente]],Pivot_Equipos!$A$1:$E$39,3,FALSE)</f>
        <v>#N/A</v>
      </c>
      <c r="F414" s="2" t="e">
        <f>+VLOOKUP(tbl_registro[[#This Row],[Tipo Equipo]],Pivot_Equipos!$C$1:$E$39,2,FALSE)</f>
        <v>#N/A</v>
      </c>
      <c r="J414" s="2">
        <f t="shared" si="7"/>
        <v>0</v>
      </c>
    </row>
    <row r="415" spans="1:10" x14ac:dyDescent="0.3">
      <c r="A415" s="2"/>
      <c r="C415" s="1"/>
      <c r="D415" s="1"/>
      <c r="E415" t="e">
        <f>+VLOOKUP(tbl_registro[[#This Row],[Patente]],Pivot_Equipos!$A$1:$E$39,3,FALSE)</f>
        <v>#N/A</v>
      </c>
      <c r="F415" s="2" t="e">
        <f>+VLOOKUP(tbl_registro[[#This Row],[Tipo Equipo]],Pivot_Equipos!$C$1:$E$39,2,FALSE)</f>
        <v>#N/A</v>
      </c>
      <c r="J415" s="2">
        <f t="shared" si="7"/>
        <v>0</v>
      </c>
    </row>
    <row r="416" spans="1:10" x14ac:dyDescent="0.3">
      <c r="A416" s="2"/>
      <c r="C416" s="1"/>
      <c r="D416" s="1"/>
      <c r="E416" t="e">
        <f>+VLOOKUP(tbl_registro[[#This Row],[Patente]],Pivot_Equipos!$A$1:$E$39,3,FALSE)</f>
        <v>#N/A</v>
      </c>
      <c r="F416" s="2" t="e">
        <f>+VLOOKUP(tbl_registro[[#This Row],[Tipo Equipo]],Pivot_Equipos!$C$1:$E$39,2,FALSE)</f>
        <v>#N/A</v>
      </c>
      <c r="J416" s="2">
        <f t="shared" si="7"/>
        <v>0</v>
      </c>
    </row>
    <row r="417" spans="1:10" x14ac:dyDescent="0.3">
      <c r="A417" s="2"/>
      <c r="C417" s="1"/>
      <c r="D417" s="1"/>
      <c r="E417" t="e">
        <f>+VLOOKUP(tbl_registro[[#This Row],[Patente]],Pivot_Equipos!$A$1:$E$39,3,FALSE)</f>
        <v>#N/A</v>
      </c>
      <c r="F417" s="2" t="e">
        <f>+VLOOKUP(tbl_registro[[#This Row],[Tipo Equipo]],Pivot_Equipos!$C$1:$E$39,2,FALSE)</f>
        <v>#N/A</v>
      </c>
      <c r="J417" s="2">
        <f t="shared" si="7"/>
        <v>0</v>
      </c>
    </row>
    <row r="418" spans="1:10" x14ac:dyDescent="0.3">
      <c r="A418" s="2"/>
      <c r="C418" s="1"/>
      <c r="D418" s="1"/>
      <c r="E418" t="e">
        <f>+VLOOKUP(tbl_registro[[#This Row],[Patente]],Pivot_Equipos!$A$1:$E$39,3,FALSE)</f>
        <v>#N/A</v>
      </c>
      <c r="F418" s="2" t="e">
        <f>+VLOOKUP(tbl_registro[[#This Row],[Tipo Equipo]],Pivot_Equipos!$C$1:$E$39,2,FALSE)</f>
        <v>#N/A</v>
      </c>
      <c r="J418" s="2">
        <f t="shared" si="7"/>
        <v>0</v>
      </c>
    </row>
    <row r="419" spans="1:10" x14ac:dyDescent="0.3">
      <c r="A419" s="2"/>
      <c r="C419" s="1"/>
      <c r="D419" s="1"/>
      <c r="E419" t="e">
        <f>+VLOOKUP(tbl_registro[[#This Row],[Patente]],Pivot_Equipos!$A$1:$E$39,3,FALSE)</f>
        <v>#N/A</v>
      </c>
      <c r="F419" s="2" t="e">
        <f>+VLOOKUP(tbl_registro[[#This Row],[Tipo Equipo]],Pivot_Equipos!$C$1:$E$39,2,FALSE)</f>
        <v>#N/A</v>
      </c>
      <c r="J419" s="2">
        <f t="shared" si="7"/>
        <v>0</v>
      </c>
    </row>
    <row r="420" spans="1:10" x14ac:dyDescent="0.3">
      <c r="A420" s="2"/>
      <c r="C420" s="1"/>
      <c r="D420" s="1"/>
      <c r="E420" t="e">
        <f>+VLOOKUP(tbl_registro[[#This Row],[Patente]],Pivot_Equipos!$A$1:$E$39,3,FALSE)</f>
        <v>#N/A</v>
      </c>
      <c r="F420" s="2" t="e">
        <f>+VLOOKUP(tbl_registro[[#This Row],[Tipo Equipo]],Pivot_Equipos!$C$1:$E$39,2,FALSE)</f>
        <v>#N/A</v>
      </c>
      <c r="J420" s="2">
        <f t="shared" si="7"/>
        <v>0</v>
      </c>
    </row>
    <row r="421" spans="1:10" x14ac:dyDescent="0.3">
      <c r="A421" s="2"/>
      <c r="C421" s="1"/>
      <c r="D421" s="1"/>
      <c r="E421" t="e">
        <f>+VLOOKUP(tbl_registro[[#This Row],[Patente]],Pivot_Equipos!$A$1:$E$39,3,FALSE)</f>
        <v>#N/A</v>
      </c>
      <c r="F421" s="2" t="e">
        <f>+VLOOKUP(tbl_registro[[#This Row],[Tipo Equipo]],Pivot_Equipos!$C$1:$E$39,2,FALSE)</f>
        <v>#N/A</v>
      </c>
      <c r="J421" s="2">
        <f t="shared" si="7"/>
        <v>0</v>
      </c>
    </row>
    <row r="422" spans="1:10" x14ac:dyDescent="0.3">
      <c r="A422" s="2"/>
      <c r="C422" s="1"/>
      <c r="D422" s="1"/>
      <c r="E422" t="e">
        <f>+VLOOKUP(tbl_registro[[#This Row],[Patente]],Pivot_Equipos!$A$1:$E$39,3,FALSE)</f>
        <v>#N/A</v>
      </c>
      <c r="F422" s="2" t="e">
        <f>+VLOOKUP(tbl_registro[[#This Row],[Tipo Equipo]],Pivot_Equipos!$C$1:$E$39,2,FALSE)</f>
        <v>#N/A</v>
      </c>
      <c r="J422" s="2">
        <f t="shared" si="7"/>
        <v>0</v>
      </c>
    </row>
    <row r="423" spans="1:10" x14ac:dyDescent="0.3">
      <c r="A423" s="2"/>
      <c r="C423" s="1"/>
      <c r="D423" s="1"/>
      <c r="E423" t="e">
        <f>+VLOOKUP(tbl_registro[[#This Row],[Patente]],Pivot_Equipos!$A$1:$E$39,3,FALSE)</f>
        <v>#N/A</v>
      </c>
      <c r="F423" s="2" t="e">
        <f>+VLOOKUP(tbl_registro[[#This Row],[Tipo Equipo]],Pivot_Equipos!$C$1:$E$39,2,FALSE)</f>
        <v>#N/A</v>
      </c>
      <c r="J423" s="2">
        <f t="shared" si="7"/>
        <v>0</v>
      </c>
    </row>
    <row r="424" spans="1:10" x14ac:dyDescent="0.3">
      <c r="A424" s="2"/>
      <c r="C424" s="1"/>
      <c r="D424" s="1"/>
      <c r="E424" t="e">
        <f>+VLOOKUP(tbl_registro[[#This Row],[Patente]],Pivot_Equipos!$A$1:$E$39,3,FALSE)</f>
        <v>#N/A</v>
      </c>
      <c r="F424" s="2" t="e">
        <f>+VLOOKUP(tbl_registro[[#This Row],[Tipo Equipo]],Pivot_Equipos!$C$1:$E$39,2,FALSE)</f>
        <v>#N/A</v>
      </c>
      <c r="J424" s="2">
        <f t="shared" si="7"/>
        <v>0</v>
      </c>
    </row>
    <row r="425" spans="1:10" x14ac:dyDescent="0.3">
      <c r="A425" s="2"/>
      <c r="C425" s="1"/>
      <c r="D425" s="1"/>
      <c r="E425" t="e">
        <f>+VLOOKUP(tbl_registro[[#This Row],[Patente]],Pivot_Equipos!$A$1:$E$39,3,FALSE)</f>
        <v>#N/A</v>
      </c>
      <c r="F425" s="2" t="e">
        <f>+VLOOKUP(tbl_registro[[#This Row],[Tipo Equipo]],Pivot_Equipos!$C$1:$E$39,2,FALSE)</f>
        <v>#N/A</v>
      </c>
      <c r="J425" s="2">
        <f t="shared" si="7"/>
        <v>0</v>
      </c>
    </row>
    <row r="426" spans="1:10" x14ac:dyDescent="0.3">
      <c r="A426" s="2"/>
      <c r="C426" s="1"/>
      <c r="D426" s="1"/>
      <c r="E426" t="e">
        <f>+VLOOKUP(tbl_registro[[#This Row],[Patente]],Pivot_Equipos!$A$1:$E$39,3,FALSE)</f>
        <v>#N/A</v>
      </c>
      <c r="F426" s="2" t="e">
        <f>+VLOOKUP(tbl_registro[[#This Row],[Tipo Equipo]],Pivot_Equipos!$C$1:$E$39,2,FALSE)</f>
        <v>#N/A</v>
      </c>
      <c r="J426" s="2">
        <f t="shared" si="7"/>
        <v>0</v>
      </c>
    </row>
    <row r="427" spans="1:10" x14ac:dyDescent="0.3">
      <c r="A427" s="2"/>
      <c r="C427" s="1"/>
      <c r="D427" s="1"/>
      <c r="E427" t="e">
        <f>+VLOOKUP(tbl_registro[[#This Row],[Patente]],Pivot_Equipos!$A$1:$E$39,3,FALSE)</f>
        <v>#N/A</v>
      </c>
      <c r="F427" s="2" t="e">
        <f>+VLOOKUP(tbl_registro[[#This Row],[Tipo Equipo]],Pivot_Equipos!$C$1:$E$39,2,FALSE)</f>
        <v>#N/A</v>
      </c>
      <c r="J427" s="2">
        <f t="shared" si="7"/>
        <v>0</v>
      </c>
    </row>
    <row r="428" spans="1:10" x14ac:dyDescent="0.3">
      <c r="A428" s="2"/>
      <c r="C428" s="1"/>
      <c r="D428" s="1"/>
      <c r="E428" t="e">
        <f>+VLOOKUP(tbl_registro[[#This Row],[Patente]],Pivot_Equipos!$A$1:$E$39,3,FALSE)</f>
        <v>#N/A</v>
      </c>
      <c r="F428" s="2" t="e">
        <f>+VLOOKUP(tbl_registro[[#This Row],[Tipo Equipo]],Pivot_Equipos!$C$1:$E$39,2,FALSE)</f>
        <v>#N/A</v>
      </c>
      <c r="J428" s="2">
        <f t="shared" si="7"/>
        <v>0</v>
      </c>
    </row>
    <row r="429" spans="1:10" x14ac:dyDescent="0.3">
      <c r="A429" s="2"/>
      <c r="C429" s="1"/>
      <c r="D429" s="1"/>
      <c r="E429" t="e">
        <f>+VLOOKUP(tbl_registro[[#This Row],[Patente]],Pivot_Equipos!$A$1:$E$39,3,FALSE)</f>
        <v>#N/A</v>
      </c>
      <c r="F429" s="2" t="e">
        <f>+VLOOKUP(tbl_registro[[#This Row],[Tipo Equipo]],Pivot_Equipos!$C$1:$E$39,2,FALSE)</f>
        <v>#N/A</v>
      </c>
      <c r="J429" s="2">
        <f t="shared" si="7"/>
        <v>0</v>
      </c>
    </row>
    <row r="430" spans="1:10" x14ac:dyDescent="0.3">
      <c r="A430" s="2"/>
      <c r="C430" s="1"/>
      <c r="D430" s="1"/>
      <c r="E430" t="e">
        <f>+VLOOKUP(tbl_registro[[#This Row],[Patente]],Pivot_Equipos!$A$1:$E$39,3,FALSE)</f>
        <v>#N/A</v>
      </c>
      <c r="F430" s="2" t="e">
        <f>+VLOOKUP(tbl_registro[[#This Row],[Tipo Equipo]],Pivot_Equipos!$C$1:$E$39,2,FALSE)</f>
        <v>#N/A</v>
      </c>
      <c r="J430" s="2">
        <f t="shared" si="7"/>
        <v>0</v>
      </c>
    </row>
    <row r="431" spans="1:10" x14ac:dyDescent="0.3">
      <c r="A431" s="2"/>
      <c r="C431" s="1"/>
      <c r="D431" s="1"/>
      <c r="E431" t="e">
        <f>+VLOOKUP(tbl_registro[[#This Row],[Patente]],Pivot_Equipos!$A$1:$E$39,3,FALSE)</f>
        <v>#N/A</v>
      </c>
      <c r="F431" s="2" t="e">
        <f>+VLOOKUP(tbl_registro[[#This Row],[Tipo Equipo]],Pivot_Equipos!$C$1:$E$39,2,FALSE)</f>
        <v>#N/A</v>
      </c>
      <c r="J431" s="2">
        <f t="shared" si="7"/>
        <v>0</v>
      </c>
    </row>
    <row r="432" spans="1:10" x14ac:dyDescent="0.3">
      <c r="A432" s="2"/>
      <c r="C432" s="1"/>
      <c r="D432" s="1"/>
      <c r="E432" t="e">
        <f>+VLOOKUP(tbl_registro[[#This Row],[Patente]],Pivot_Equipos!$A$1:$E$39,3,FALSE)</f>
        <v>#N/A</v>
      </c>
      <c r="F432" s="2" t="e">
        <f>+VLOOKUP(tbl_registro[[#This Row],[Tipo Equipo]],Pivot_Equipos!$C$1:$E$39,2,FALSE)</f>
        <v>#N/A</v>
      </c>
      <c r="J432" s="2">
        <f t="shared" si="7"/>
        <v>0</v>
      </c>
    </row>
    <row r="433" spans="1:10" x14ac:dyDescent="0.3">
      <c r="A433" s="2"/>
      <c r="C433" s="1"/>
      <c r="D433" s="1"/>
      <c r="E433" t="e">
        <f>+VLOOKUP(tbl_registro[[#This Row],[Patente]],Pivot_Equipos!$A$1:$E$39,3,FALSE)</f>
        <v>#N/A</v>
      </c>
      <c r="F433" s="2" t="e">
        <f>+VLOOKUP(tbl_registro[[#This Row],[Tipo Equipo]],Pivot_Equipos!$C$1:$E$39,2,FALSE)</f>
        <v>#N/A</v>
      </c>
      <c r="J433" s="2">
        <f t="shared" si="7"/>
        <v>0</v>
      </c>
    </row>
    <row r="434" spans="1:10" x14ac:dyDescent="0.3">
      <c r="A434" s="2"/>
      <c r="C434" s="1"/>
      <c r="D434" s="1"/>
      <c r="E434" t="e">
        <f>+VLOOKUP(tbl_registro[[#This Row],[Patente]],Pivot_Equipos!$A$1:$E$39,3,FALSE)</f>
        <v>#N/A</v>
      </c>
      <c r="F434" s="2" t="e">
        <f>+VLOOKUP(tbl_registro[[#This Row],[Tipo Equipo]],Pivot_Equipos!$C$1:$E$39,2,FALSE)</f>
        <v>#N/A</v>
      </c>
      <c r="J434" s="2">
        <f t="shared" si="7"/>
        <v>0</v>
      </c>
    </row>
    <row r="435" spans="1:10" x14ac:dyDescent="0.3">
      <c r="A435" s="2"/>
      <c r="C435" s="1"/>
      <c r="D435" s="1"/>
      <c r="E435" t="e">
        <f>+VLOOKUP(tbl_registro[[#This Row],[Patente]],Pivot_Equipos!$A$1:$E$39,3,FALSE)</f>
        <v>#N/A</v>
      </c>
      <c r="F435" s="2" t="e">
        <f>+VLOOKUP(tbl_registro[[#This Row],[Tipo Equipo]],Pivot_Equipos!$C$1:$E$39,2,FALSE)</f>
        <v>#N/A</v>
      </c>
      <c r="J435" s="2">
        <f t="shared" si="7"/>
        <v>0</v>
      </c>
    </row>
    <row r="436" spans="1:10" x14ac:dyDescent="0.3">
      <c r="A436" s="2"/>
      <c r="C436" s="1"/>
      <c r="D436" s="1"/>
      <c r="E436" t="e">
        <f>+VLOOKUP(tbl_registro[[#This Row],[Patente]],Pivot_Equipos!$A$1:$E$39,3,FALSE)</f>
        <v>#N/A</v>
      </c>
      <c r="F436" s="2" t="e">
        <f>+VLOOKUP(tbl_registro[[#This Row],[Tipo Equipo]],Pivot_Equipos!$C$1:$E$39,2,FALSE)</f>
        <v>#N/A</v>
      </c>
      <c r="J436" s="2">
        <f t="shared" si="7"/>
        <v>0</v>
      </c>
    </row>
    <row r="437" spans="1:10" x14ac:dyDescent="0.3">
      <c r="A437" s="2"/>
      <c r="C437" s="1"/>
      <c r="D437" s="1"/>
      <c r="E437" t="e">
        <f>+VLOOKUP(tbl_registro[[#This Row],[Patente]],Pivot_Equipos!$A$1:$E$39,3,FALSE)</f>
        <v>#N/A</v>
      </c>
      <c r="F437" s="2" t="e">
        <f>+VLOOKUP(tbl_registro[[#This Row],[Tipo Equipo]],Pivot_Equipos!$C$1:$E$39,2,FALSE)</f>
        <v>#N/A</v>
      </c>
      <c r="J437" s="2">
        <f t="shared" si="7"/>
        <v>0</v>
      </c>
    </row>
    <row r="438" spans="1:10" x14ac:dyDescent="0.3">
      <c r="A438" s="2"/>
      <c r="C438" s="1"/>
      <c r="D438" s="1"/>
      <c r="E438" t="e">
        <f>+VLOOKUP(tbl_registro[[#This Row],[Patente]],Pivot_Equipos!$A$1:$E$39,3,FALSE)</f>
        <v>#N/A</v>
      </c>
      <c r="F438" s="2" t="e">
        <f>+VLOOKUP(tbl_registro[[#This Row],[Tipo Equipo]],Pivot_Equipos!$C$1:$E$39,2,FALSE)</f>
        <v>#N/A</v>
      </c>
      <c r="J438" s="2">
        <f t="shared" si="7"/>
        <v>0</v>
      </c>
    </row>
    <row r="439" spans="1:10" x14ac:dyDescent="0.3">
      <c r="A439" s="2"/>
      <c r="C439" s="1"/>
      <c r="D439" s="1"/>
      <c r="E439" t="e">
        <f>+VLOOKUP(tbl_registro[[#This Row],[Patente]],Pivot_Equipos!$A$1:$E$39,3,FALSE)</f>
        <v>#N/A</v>
      </c>
      <c r="F439" s="2" t="e">
        <f>+VLOOKUP(tbl_registro[[#This Row],[Tipo Equipo]],Pivot_Equipos!$C$1:$E$39,2,FALSE)</f>
        <v>#N/A</v>
      </c>
      <c r="J439" s="2">
        <f t="shared" si="7"/>
        <v>0</v>
      </c>
    </row>
    <row r="440" spans="1:10" x14ac:dyDescent="0.3">
      <c r="A440" s="2"/>
      <c r="C440" s="1"/>
      <c r="D440" s="1"/>
      <c r="E440" t="e">
        <f>+VLOOKUP(tbl_registro[[#This Row],[Patente]],Pivot_Equipos!$A$1:$E$39,3,FALSE)</f>
        <v>#N/A</v>
      </c>
      <c r="F440" s="2" t="e">
        <f>+VLOOKUP(tbl_registro[[#This Row],[Tipo Equipo]],Pivot_Equipos!$C$1:$E$39,2,FALSE)</f>
        <v>#N/A</v>
      </c>
      <c r="J440" s="2">
        <f t="shared" si="7"/>
        <v>0</v>
      </c>
    </row>
    <row r="441" spans="1:10" x14ac:dyDescent="0.3">
      <c r="A441" s="2"/>
      <c r="C441" s="1"/>
      <c r="D441" s="1"/>
      <c r="E441" t="e">
        <f>+VLOOKUP(tbl_registro[[#This Row],[Patente]],Pivot_Equipos!$A$1:$E$39,3,FALSE)</f>
        <v>#N/A</v>
      </c>
      <c r="F441" s="2" t="e">
        <f>+VLOOKUP(tbl_registro[[#This Row],[Tipo Equipo]],Pivot_Equipos!$C$1:$E$39,2,FALSE)</f>
        <v>#N/A</v>
      </c>
      <c r="J441" s="2">
        <f t="shared" si="7"/>
        <v>0</v>
      </c>
    </row>
    <row r="442" spans="1:10" x14ac:dyDescent="0.3">
      <c r="A442" s="2"/>
      <c r="C442" s="1"/>
      <c r="D442" s="1"/>
      <c r="E442" t="e">
        <f>+VLOOKUP(tbl_registro[[#This Row],[Patente]],Pivot_Equipos!$A$1:$E$39,3,FALSE)</f>
        <v>#N/A</v>
      </c>
      <c r="F442" s="2" t="e">
        <f>+VLOOKUP(tbl_registro[[#This Row],[Tipo Equipo]],Pivot_Equipos!$C$1:$E$39,2,FALSE)</f>
        <v>#N/A</v>
      </c>
      <c r="J442" s="2">
        <f t="shared" si="7"/>
        <v>0</v>
      </c>
    </row>
    <row r="443" spans="1:10" x14ac:dyDescent="0.3">
      <c r="A443" s="2"/>
      <c r="C443" s="1"/>
      <c r="D443" s="1"/>
      <c r="E443" t="e">
        <f>+VLOOKUP(tbl_registro[[#This Row],[Patente]],Pivot_Equipos!$A$1:$E$39,3,FALSE)</f>
        <v>#N/A</v>
      </c>
      <c r="F443" s="2" t="e">
        <f>+VLOOKUP(tbl_registro[[#This Row],[Tipo Equipo]],Pivot_Equipos!$C$1:$E$39,2,FALSE)</f>
        <v>#N/A</v>
      </c>
      <c r="J443" s="2">
        <f t="shared" si="7"/>
        <v>0</v>
      </c>
    </row>
    <row r="444" spans="1:10" x14ac:dyDescent="0.3">
      <c r="A444" s="2"/>
      <c r="C444" s="1"/>
      <c r="D444" s="1"/>
      <c r="E444" t="e">
        <f>+VLOOKUP(tbl_registro[[#This Row],[Patente]],Pivot_Equipos!$A$1:$E$39,3,FALSE)</f>
        <v>#N/A</v>
      </c>
      <c r="F444" s="2" t="e">
        <f>+VLOOKUP(tbl_registro[[#This Row],[Tipo Equipo]],Pivot_Equipos!$C$1:$E$39,2,FALSE)</f>
        <v>#N/A</v>
      </c>
      <c r="J444" s="2">
        <f t="shared" si="7"/>
        <v>0</v>
      </c>
    </row>
    <row r="445" spans="1:10" x14ac:dyDescent="0.3">
      <c r="A445" s="2"/>
      <c r="C445" s="1"/>
      <c r="D445" s="1"/>
      <c r="E445" t="e">
        <f>+VLOOKUP(tbl_registro[[#This Row],[Patente]],Pivot_Equipos!$A$1:$E$39,3,FALSE)</f>
        <v>#N/A</v>
      </c>
      <c r="F445" s="2" t="e">
        <f>+VLOOKUP(tbl_registro[[#This Row],[Tipo Equipo]],Pivot_Equipos!$C$1:$E$39,2,FALSE)</f>
        <v>#N/A</v>
      </c>
      <c r="J445" s="2">
        <f t="shared" si="7"/>
        <v>0</v>
      </c>
    </row>
    <row r="446" spans="1:10" x14ac:dyDescent="0.3">
      <c r="A446" s="2"/>
      <c r="C446" s="1"/>
      <c r="D446" s="1"/>
      <c r="E446" t="e">
        <f>+VLOOKUP(tbl_registro[[#This Row],[Patente]],Pivot_Equipos!$A$1:$E$39,3,FALSE)</f>
        <v>#N/A</v>
      </c>
      <c r="F446" s="2" t="e">
        <f>+VLOOKUP(tbl_registro[[#This Row],[Tipo Equipo]],Pivot_Equipos!$C$1:$E$39,2,FALSE)</f>
        <v>#N/A</v>
      </c>
      <c r="J446" s="2">
        <f t="shared" si="7"/>
        <v>0</v>
      </c>
    </row>
    <row r="447" spans="1:10" x14ac:dyDescent="0.3">
      <c r="A447" s="2"/>
      <c r="C447" s="1"/>
      <c r="D447" s="1"/>
      <c r="E447" t="e">
        <f>+VLOOKUP(tbl_registro[[#This Row],[Patente]],Pivot_Equipos!$A$1:$E$39,3,FALSE)</f>
        <v>#N/A</v>
      </c>
      <c r="F447" s="2" t="e">
        <f>+VLOOKUP(tbl_registro[[#This Row],[Tipo Equipo]],Pivot_Equipos!$C$1:$E$39,2,FALSE)</f>
        <v>#N/A</v>
      </c>
      <c r="J447" s="2">
        <f t="shared" si="7"/>
        <v>0</v>
      </c>
    </row>
    <row r="448" spans="1:10" x14ac:dyDescent="0.3">
      <c r="A448" s="2"/>
      <c r="C448" s="1"/>
      <c r="D448" s="1"/>
      <c r="E448" t="e">
        <f>+VLOOKUP(tbl_registro[[#This Row],[Patente]],Pivot_Equipos!$A$1:$E$39,3,FALSE)</f>
        <v>#N/A</v>
      </c>
      <c r="F448" s="2" t="e">
        <f>+VLOOKUP(tbl_registro[[#This Row],[Tipo Equipo]],Pivot_Equipos!$C$1:$E$39,2,FALSE)</f>
        <v>#N/A</v>
      </c>
      <c r="J448" s="2">
        <f t="shared" si="7"/>
        <v>0</v>
      </c>
    </row>
    <row r="449" spans="1:10" x14ac:dyDescent="0.3">
      <c r="A449" s="2"/>
      <c r="C449" s="1"/>
      <c r="D449" s="1"/>
      <c r="E449" t="e">
        <f>+VLOOKUP(tbl_registro[[#This Row],[Patente]],Pivot_Equipos!$A$1:$E$39,3,FALSE)</f>
        <v>#N/A</v>
      </c>
      <c r="F449" s="2" t="e">
        <f>+VLOOKUP(tbl_registro[[#This Row],[Tipo Equipo]],Pivot_Equipos!$C$1:$E$39,2,FALSE)</f>
        <v>#N/A</v>
      </c>
      <c r="J449" s="2">
        <f t="shared" si="7"/>
        <v>0</v>
      </c>
    </row>
    <row r="450" spans="1:10" x14ac:dyDescent="0.3">
      <c r="A450" s="2"/>
      <c r="C450" s="1"/>
      <c r="D450" s="1"/>
      <c r="E450" t="e">
        <f>+VLOOKUP(tbl_registro[[#This Row],[Patente]],Pivot_Equipos!$A$1:$E$39,3,FALSE)</f>
        <v>#N/A</v>
      </c>
      <c r="F450" s="2" t="e">
        <f>+VLOOKUP(tbl_registro[[#This Row],[Tipo Equipo]],Pivot_Equipos!$C$1:$E$39,2,FALSE)</f>
        <v>#N/A</v>
      </c>
      <c r="J450" s="2">
        <f t="shared" ref="J450:J513" si="8">I450-H450</f>
        <v>0</v>
      </c>
    </row>
    <row r="451" spans="1:10" x14ac:dyDescent="0.3">
      <c r="A451" s="2"/>
      <c r="C451" s="1"/>
      <c r="D451" s="1"/>
      <c r="E451" t="e">
        <f>+VLOOKUP(tbl_registro[[#This Row],[Patente]],Pivot_Equipos!$A$1:$E$39,3,FALSE)</f>
        <v>#N/A</v>
      </c>
      <c r="F451" s="2" t="e">
        <f>+VLOOKUP(tbl_registro[[#This Row],[Tipo Equipo]],Pivot_Equipos!$C$1:$E$39,2,FALSE)</f>
        <v>#N/A</v>
      </c>
      <c r="J451" s="2">
        <f t="shared" si="8"/>
        <v>0</v>
      </c>
    </row>
    <row r="452" spans="1:10" x14ac:dyDescent="0.3">
      <c r="A452" s="2"/>
      <c r="C452" s="1"/>
      <c r="D452" s="1"/>
      <c r="E452" t="e">
        <f>+VLOOKUP(tbl_registro[[#This Row],[Patente]],Pivot_Equipos!$A$1:$E$39,3,FALSE)</f>
        <v>#N/A</v>
      </c>
      <c r="F452" s="2" t="e">
        <f>+VLOOKUP(tbl_registro[[#This Row],[Tipo Equipo]],Pivot_Equipos!$C$1:$E$39,2,FALSE)</f>
        <v>#N/A</v>
      </c>
      <c r="J452" s="2">
        <f t="shared" si="8"/>
        <v>0</v>
      </c>
    </row>
    <row r="453" spans="1:10" x14ac:dyDescent="0.3">
      <c r="A453" s="2"/>
      <c r="C453" s="1"/>
      <c r="D453" s="1"/>
      <c r="E453" t="e">
        <f>+VLOOKUP(tbl_registro[[#This Row],[Patente]],Pivot_Equipos!$A$1:$E$39,3,FALSE)</f>
        <v>#N/A</v>
      </c>
      <c r="F453" s="2" t="e">
        <f>+VLOOKUP(tbl_registro[[#This Row],[Tipo Equipo]],Pivot_Equipos!$C$1:$E$39,2,FALSE)</f>
        <v>#N/A</v>
      </c>
      <c r="J453" s="2">
        <f t="shared" si="8"/>
        <v>0</v>
      </c>
    </row>
    <row r="454" spans="1:10" x14ac:dyDescent="0.3">
      <c r="A454" s="2"/>
      <c r="C454" s="1"/>
      <c r="D454" s="1"/>
      <c r="E454" t="e">
        <f>+VLOOKUP(tbl_registro[[#This Row],[Patente]],Pivot_Equipos!$A$1:$E$39,3,FALSE)</f>
        <v>#N/A</v>
      </c>
      <c r="F454" s="2" t="e">
        <f>+VLOOKUP(tbl_registro[[#This Row],[Tipo Equipo]],Pivot_Equipos!$C$1:$E$39,2,FALSE)</f>
        <v>#N/A</v>
      </c>
      <c r="J454" s="2">
        <f t="shared" si="8"/>
        <v>0</v>
      </c>
    </row>
    <row r="455" spans="1:10" x14ac:dyDescent="0.3">
      <c r="A455" s="2"/>
      <c r="C455" s="1"/>
      <c r="D455" s="1"/>
      <c r="E455" t="e">
        <f>+VLOOKUP(tbl_registro[[#This Row],[Patente]],Pivot_Equipos!$A$1:$E$39,3,FALSE)</f>
        <v>#N/A</v>
      </c>
      <c r="F455" s="2" t="e">
        <f>+VLOOKUP(tbl_registro[[#This Row],[Tipo Equipo]],Pivot_Equipos!$C$1:$E$39,2,FALSE)</f>
        <v>#N/A</v>
      </c>
      <c r="J455" s="2">
        <f t="shared" si="8"/>
        <v>0</v>
      </c>
    </row>
    <row r="456" spans="1:10" x14ac:dyDescent="0.3">
      <c r="A456" s="2"/>
      <c r="C456" s="1"/>
      <c r="D456" s="1"/>
      <c r="E456" t="e">
        <f>+VLOOKUP(tbl_registro[[#This Row],[Patente]],Pivot_Equipos!$A$1:$E$39,3,FALSE)</f>
        <v>#N/A</v>
      </c>
      <c r="F456" s="2" t="e">
        <f>+VLOOKUP(tbl_registro[[#This Row],[Tipo Equipo]],Pivot_Equipos!$C$1:$E$39,2,FALSE)</f>
        <v>#N/A</v>
      </c>
      <c r="J456" s="2">
        <f t="shared" si="8"/>
        <v>0</v>
      </c>
    </row>
    <row r="457" spans="1:10" x14ac:dyDescent="0.3">
      <c r="A457" s="2"/>
      <c r="C457" s="1"/>
      <c r="D457" s="1"/>
      <c r="E457" t="e">
        <f>+VLOOKUP(tbl_registro[[#This Row],[Patente]],Pivot_Equipos!$A$1:$E$39,3,FALSE)</f>
        <v>#N/A</v>
      </c>
      <c r="F457" s="2" t="e">
        <f>+VLOOKUP(tbl_registro[[#This Row],[Tipo Equipo]],Pivot_Equipos!$C$1:$E$39,2,FALSE)</f>
        <v>#N/A</v>
      </c>
      <c r="J457" s="2">
        <f t="shared" si="8"/>
        <v>0</v>
      </c>
    </row>
    <row r="458" spans="1:10" x14ac:dyDescent="0.3">
      <c r="A458" s="2"/>
      <c r="C458" s="1"/>
      <c r="D458" s="1"/>
      <c r="E458" t="e">
        <f>+VLOOKUP(tbl_registro[[#This Row],[Patente]],Pivot_Equipos!$A$1:$E$39,3,FALSE)</f>
        <v>#N/A</v>
      </c>
      <c r="F458" s="2" t="e">
        <f>+VLOOKUP(tbl_registro[[#This Row],[Tipo Equipo]],Pivot_Equipos!$C$1:$E$39,2,FALSE)</f>
        <v>#N/A</v>
      </c>
      <c r="J458" s="2">
        <f t="shared" si="8"/>
        <v>0</v>
      </c>
    </row>
    <row r="459" spans="1:10" x14ac:dyDescent="0.3">
      <c r="A459" s="2"/>
      <c r="C459" s="1"/>
      <c r="D459" s="1"/>
      <c r="E459" t="e">
        <f>+VLOOKUP(tbl_registro[[#This Row],[Patente]],Pivot_Equipos!$A$1:$E$39,3,FALSE)</f>
        <v>#N/A</v>
      </c>
      <c r="F459" s="2" t="e">
        <f>+VLOOKUP(tbl_registro[[#This Row],[Tipo Equipo]],Pivot_Equipos!$C$1:$E$39,2,FALSE)</f>
        <v>#N/A</v>
      </c>
      <c r="J459" s="2">
        <f t="shared" si="8"/>
        <v>0</v>
      </c>
    </row>
    <row r="460" spans="1:10" x14ac:dyDescent="0.3">
      <c r="A460" s="2"/>
      <c r="C460" s="1"/>
      <c r="D460" s="1"/>
      <c r="E460" t="e">
        <f>+VLOOKUP(tbl_registro[[#This Row],[Patente]],Pivot_Equipos!$A$1:$E$39,3,FALSE)</f>
        <v>#N/A</v>
      </c>
      <c r="F460" s="2" t="e">
        <f>+VLOOKUP(tbl_registro[[#This Row],[Tipo Equipo]],Pivot_Equipos!$C$1:$E$39,2,FALSE)</f>
        <v>#N/A</v>
      </c>
      <c r="J460" s="2">
        <f t="shared" si="8"/>
        <v>0</v>
      </c>
    </row>
    <row r="461" spans="1:10" x14ac:dyDescent="0.3">
      <c r="A461" s="2"/>
      <c r="C461" s="1"/>
      <c r="D461" s="1"/>
      <c r="E461" t="e">
        <f>+VLOOKUP(tbl_registro[[#This Row],[Patente]],Pivot_Equipos!$A$1:$E$39,3,FALSE)</f>
        <v>#N/A</v>
      </c>
      <c r="F461" s="2" t="e">
        <f>+VLOOKUP(tbl_registro[[#This Row],[Tipo Equipo]],Pivot_Equipos!$C$1:$E$39,2,FALSE)</f>
        <v>#N/A</v>
      </c>
      <c r="J461" s="2">
        <f t="shared" si="8"/>
        <v>0</v>
      </c>
    </row>
    <row r="462" spans="1:10" x14ac:dyDescent="0.3">
      <c r="A462" s="2"/>
      <c r="C462" s="1"/>
      <c r="D462" s="1"/>
      <c r="E462" t="e">
        <f>+VLOOKUP(tbl_registro[[#This Row],[Patente]],Pivot_Equipos!$A$1:$E$39,3,FALSE)</f>
        <v>#N/A</v>
      </c>
      <c r="F462" s="2" t="e">
        <f>+VLOOKUP(tbl_registro[[#This Row],[Tipo Equipo]],Pivot_Equipos!$C$1:$E$39,2,FALSE)</f>
        <v>#N/A</v>
      </c>
      <c r="J462" s="2">
        <f t="shared" si="8"/>
        <v>0</v>
      </c>
    </row>
    <row r="463" spans="1:10" x14ac:dyDescent="0.3">
      <c r="A463" s="2"/>
      <c r="C463" s="1"/>
      <c r="D463" s="1"/>
      <c r="E463" t="e">
        <f>+VLOOKUP(tbl_registro[[#This Row],[Patente]],Pivot_Equipos!$A$1:$E$39,3,FALSE)</f>
        <v>#N/A</v>
      </c>
      <c r="F463" s="2" t="e">
        <f>+VLOOKUP(tbl_registro[[#This Row],[Tipo Equipo]],Pivot_Equipos!$C$1:$E$39,2,FALSE)</f>
        <v>#N/A</v>
      </c>
      <c r="J463" s="2">
        <f t="shared" si="8"/>
        <v>0</v>
      </c>
    </row>
    <row r="464" spans="1:10" x14ac:dyDescent="0.3">
      <c r="A464" s="2"/>
      <c r="C464" s="1"/>
      <c r="D464" s="1"/>
      <c r="E464" t="e">
        <f>+VLOOKUP(tbl_registro[[#This Row],[Patente]],Pivot_Equipos!$A$1:$E$39,3,FALSE)</f>
        <v>#N/A</v>
      </c>
      <c r="F464" s="2" t="e">
        <f>+VLOOKUP(tbl_registro[[#This Row],[Tipo Equipo]],Pivot_Equipos!$C$1:$E$39,2,FALSE)</f>
        <v>#N/A</v>
      </c>
      <c r="J464" s="2">
        <f t="shared" si="8"/>
        <v>0</v>
      </c>
    </row>
    <row r="465" spans="1:10" x14ac:dyDescent="0.3">
      <c r="A465" s="2"/>
      <c r="C465" s="1"/>
      <c r="D465" s="1"/>
      <c r="E465" t="e">
        <f>+VLOOKUP(tbl_registro[[#This Row],[Patente]],Pivot_Equipos!$A$1:$E$39,3,FALSE)</f>
        <v>#N/A</v>
      </c>
      <c r="F465" s="2" t="e">
        <f>+VLOOKUP(tbl_registro[[#This Row],[Tipo Equipo]],Pivot_Equipos!$C$1:$E$39,2,FALSE)</f>
        <v>#N/A</v>
      </c>
      <c r="J465" s="2">
        <f t="shared" si="8"/>
        <v>0</v>
      </c>
    </row>
    <row r="466" spans="1:10" x14ac:dyDescent="0.3">
      <c r="A466" s="2"/>
      <c r="C466" s="1"/>
      <c r="D466" s="1"/>
      <c r="E466" t="e">
        <f>+VLOOKUP(tbl_registro[[#This Row],[Patente]],Pivot_Equipos!$A$1:$E$39,3,FALSE)</f>
        <v>#N/A</v>
      </c>
      <c r="F466" s="2" t="e">
        <f>+VLOOKUP(tbl_registro[[#This Row],[Tipo Equipo]],Pivot_Equipos!$C$1:$E$39,2,FALSE)</f>
        <v>#N/A</v>
      </c>
      <c r="J466" s="2">
        <f t="shared" si="8"/>
        <v>0</v>
      </c>
    </row>
    <row r="467" spans="1:10" x14ac:dyDescent="0.3">
      <c r="A467" s="2"/>
      <c r="C467" s="1"/>
      <c r="D467" s="1"/>
      <c r="E467" t="e">
        <f>+VLOOKUP(tbl_registro[[#This Row],[Patente]],Pivot_Equipos!$A$1:$E$39,3,FALSE)</f>
        <v>#N/A</v>
      </c>
      <c r="F467" s="2" t="e">
        <f>+VLOOKUP(tbl_registro[[#This Row],[Tipo Equipo]],Pivot_Equipos!$C$1:$E$39,2,FALSE)</f>
        <v>#N/A</v>
      </c>
      <c r="J467" s="2">
        <f t="shared" si="8"/>
        <v>0</v>
      </c>
    </row>
    <row r="468" spans="1:10" x14ac:dyDescent="0.3">
      <c r="A468" s="2"/>
      <c r="C468" s="1"/>
      <c r="D468" s="1"/>
      <c r="E468" t="e">
        <f>+VLOOKUP(tbl_registro[[#This Row],[Patente]],Pivot_Equipos!$A$1:$E$39,3,FALSE)</f>
        <v>#N/A</v>
      </c>
      <c r="F468" s="2" t="e">
        <f>+VLOOKUP(tbl_registro[[#This Row],[Tipo Equipo]],Pivot_Equipos!$C$1:$E$39,2,FALSE)</f>
        <v>#N/A</v>
      </c>
      <c r="J468" s="2">
        <f t="shared" si="8"/>
        <v>0</v>
      </c>
    </row>
    <row r="469" spans="1:10" x14ac:dyDescent="0.3">
      <c r="A469" s="2"/>
      <c r="C469" s="1"/>
      <c r="D469" s="1"/>
      <c r="E469" t="e">
        <f>+VLOOKUP(tbl_registro[[#This Row],[Patente]],Pivot_Equipos!$A$1:$E$39,3,FALSE)</f>
        <v>#N/A</v>
      </c>
      <c r="F469" s="2" t="e">
        <f>+VLOOKUP(tbl_registro[[#This Row],[Tipo Equipo]],Pivot_Equipos!$C$1:$E$39,2,FALSE)</f>
        <v>#N/A</v>
      </c>
      <c r="J469" s="2">
        <f t="shared" si="8"/>
        <v>0</v>
      </c>
    </row>
    <row r="470" spans="1:10" x14ac:dyDescent="0.3">
      <c r="A470" s="2"/>
      <c r="C470" s="1"/>
      <c r="D470" s="1"/>
      <c r="E470" t="e">
        <f>+VLOOKUP(tbl_registro[[#This Row],[Patente]],Pivot_Equipos!$A$1:$E$39,3,FALSE)</f>
        <v>#N/A</v>
      </c>
      <c r="F470" s="2" t="e">
        <f>+VLOOKUP(tbl_registro[[#This Row],[Tipo Equipo]],Pivot_Equipos!$C$1:$E$39,2,FALSE)</f>
        <v>#N/A</v>
      </c>
      <c r="J470" s="2">
        <f t="shared" si="8"/>
        <v>0</v>
      </c>
    </row>
    <row r="471" spans="1:10" x14ac:dyDescent="0.3">
      <c r="A471" s="2"/>
      <c r="C471" s="1"/>
      <c r="D471" s="1"/>
      <c r="E471" t="e">
        <f>+VLOOKUP(tbl_registro[[#This Row],[Patente]],Pivot_Equipos!$A$1:$E$39,3,FALSE)</f>
        <v>#N/A</v>
      </c>
      <c r="F471" s="2" t="e">
        <f>+VLOOKUP(tbl_registro[[#This Row],[Tipo Equipo]],Pivot_Equipos!$C$1:$E$39,2,FALSE)</f>
        <v>#N/A</v>
      </c>
      <c r="J471" s="2">
        <f t="shared" si="8"/>
        <v>0</v>
      </c>
    </row>
    <row r="472" spans="1:10" x14ac:dyDescent="0.3">
      <c r="A472" s="2"/>
      <c r="C472" s="1"/>
      <c r="D472" s="1"/>
      <c r="E472" t="e">
        <f>+VLOOKUP(tbl_registro[[#This Row],[Patente]],Pivot_Equipos!$A$1:$E$39,3,FALSE)</f>
        <v>#N/A</v>
      </c>
      <c r="F472" s="2" t="e">
        <f>+VLOOKUP(tbl_registro[[#This Row],[Tipo Equipo]],Pivot_Equipos!$C$1:$E$39,2,FALSE)</f>
        <v>#N/A</v>
      </c>
      <c r="J472" s="2">
        <f t="shared" si="8"/>
        <v>0</v>
      </c>
    </row>
    <row r="473" spans="1:10" x14ac:dyDescent="0.3">
      <c r="A473" s="2"/>
      <c r="C473" s="1"/>
      <c r="D473" s="1"/>
      <c r="E473" t="e">
        <f>+VLOOKUP(tbl_registro[[#This Row],[Patente]],Pivot_Equipos!$A$1:$E$39,3,FALSE)</f>
        <v>#N/A</v>
      </c>
      <c r="F473" s="2" t="e">
        <f>+VLOOKUP(tbl_registro[[#This Row],[Tipo Equipo]],Pivot_Equipos!$C$1:$E$39,2,FALSE)</f>
        <v>#N/A</v>
      </c>
      <c r="J473" s="2">
        <f t="shared" si="8"/>
        <v>0</v>
      </c>
    </row>
    <row r="474" spans="1:10" x14ac:dyDescent="0.3">
      <c r="A474" s="2"/>
      <c r="C474" s="1"/>
      <c r="D474" s="1"/>
      <c r="E474" t="e">
        <f>+VLOOKUP(tbl_registro[[#This Row],[Patente]],Pivot_Equipos!$A$1:$E$39,3,FALSE)</f>
        <v>#N/A</v>
      </c>
      <c r="F474" s="2" t="e">
        <f>+VLOOKUP(tbl_registro[[#This Row],[Tipo Equipo]],Pivot_Equipos!$C$1:$E$39,2,FALSE)</f>
        <v>#N/A</v>
      </c>
      <c r="J474" s="2">
        <f t="shared" si="8"/>
        <v>0</v>
      </c>
    </row>
    <row r="475" spans="1:10" x14ac:dyDescent="0.3">
      <c r="A475" s="2"/>
      <c r="C475" s="1"/>
      <c r="D475" s="1"/>
      <c r="E475" t="e">
        <f>+VLOOKUP(tbl_registro[[#This Row],[Patente]],Pivot_Equipos!$A$1:$E$39,3,FALSE)</f>
        <v>#N/A</v>
      </c>
      <c r="F475" s="2" t="e">
        <f>+VLOOKUP(tbl_registro[[#This Row],[Tipo Equipo]],Pivot_Equipos!$C$1:$E$39,2,FALSE)</f>
        <v>#N/A</v>
      </c>
      <c r="J475" s="2">
        <f t="shared" si="8"/>
        <v>0</v>
      </c>
    </row>
    <row r="476" spans="1:10" x14ac:dyDescent="0.3">
      <c r="A476" s="2"/>
      <c r="C476" s="1"/>
      <c r="D476" s="1"/>
      <c r="E476" t="e">
        <f>+VLOOKUP(tbl_registro[[#This Row],[Patente]],Pivot_Equipos!$A$1:$E$39,3,FALSE)</f>
        <v>#N/A</v>
      </c>
      <c r="F476" s="2" t="e">
        <f>+VLOOKUP(tbl_registro[[#This Row],[Tipo Equipo]],Pivot_Equipos!$C$1:$E$39,2,FALSE)</f>
        <v>#N/A</v>
      </c>
      <c r="J476" s="2">
        <f t="shared" si="8"/>
        <v>0</v>
      </c>
    </row>
    <row r="477" spans="1:10" x14ac:dyDescent="0.3">
      <c r="A477" s="2"/>
      <c r="C477" s="1"/>
      <c r="D477" s="1"/>
      <c r="E477" t="e">
        <f>+VLOOKUP(tbl_registro[[#This Row],[Patente]],Pivot_Equipos!$A$1:$E$39,3,FALSE)</f>
        <v>#N/A</v>
      </c>
      <c r="F477" s="2" t="e">
        <f>+VLOOKUP(tbl_registro[[#This Row],[Tipo Equipo]],Pivot_Equipos!$C$1:$E$39,2,FALSE)</f>
        <v>#N/A</v>
      </c>
      <c r="J477" s="2">
        <f t="shared" si="8"/>
        <v>0</v>
      </c>
    </row>
    <row r="478" spans="1:10" x14ac:dyDescent="0.3">
      <c r="A478" s="2"/>
      <c r="C478" s="1"/>
      <c r="D478" s="1"/>
      <c r="E478" t="e">
        <f>+VLOOKUP(tbl_registro[[#This Row],[Patente]],Pivot_Equipos!$A$1:$E$39,3,FALSE)</f>
        <v>#N/A</v>
      </c>
      <c r="F478" s="2" t="e">
        <f>+VLOOKUP(tbl_registro[[#This Row],[Tipo Equipo]],Pivot_Equipos!$C$1:$E$39,2,FALSE)</f>
        <v>#N/A</v>
      </c>
      <c r="J478" s="2">
        <f t="shared" si="8"/>
        <v>0</v>
      </c>
    </row>
    <row r="479" spans="1:10" x14ac:dyDescent="0.3">
      <c r="A479" s="2"/>
      <c r="C479" s="1"/>
      <c r="D479" s="1"/>
      <c r="E479" t="e">
        <f>+VLOOKUP(tbl_registro[[#This Row],[Patente]],Pivot_Equipos!$A$1:$E$39,3,FALSE)</f>
        <v>#N/A</v>
      </c>
      <c r="F479" s="2" t="e">
        <f>+VLOOKUP(tbl_registro[[#This Row],[Tipo Equipo]],Pivot_Equipos!$C$1:$E$39,2,FALSE)</f>
        <v>#N/A</v>
      </c>
      <c r="J479" s="2">
        <f t="shared" si="8"/>
        <v>0</v>
      </c>
    </row>
    <row r="480" spans="1:10" x14ac:dyDescent="0.3">
      <c r="A480" s="2"/>
      <c r="C480" s="1"/>
      <c r="D480" s="1"/>
      <c r="E480" t="e">
        <f>+VLOOKUP(tbl_registro[[#This Row],[Patente]],Pivot_Equipos!$A$1:$E$39,3,FALSE)</f>
        <v>#N/A</v>
      </c>
      <c r="F480" s="2" t="e">
        <f>+VLOOKUP(tbl_registro[[#This Row],[Tipo Equipo]],Pivot_Equipos!$C$1:$E$39,2,FALSE)</f>
        <v>#N/A</v>
      </c>
      <c r="J480" s="2">
        <f t="shared" si="8"/>
        <v>0</v>
      </c>
    </row>
    <row r="481" spans="1:10" x14ac:dyDescent="0.3">
      <c r="A481" s="2"/>
      <c r="C481" s="1"/>
      <c r="D481" s="1"/>
      <c r="E481" t="e">
        <f>+VLOOKUP(tbl_registro[[#This Row],[Patente]],Pivot_Equipos!$A$1:$E$39,3,FALSE)</f>
        <v>#N/A</v>
      </c>
      <c r="F481" s="2" t="e">
        <f>+VLOOKUP(tbl_registro[[#This Row],[Tipo Equipo]],Pivot_Equipos!$C$1:$E$39,2,FALSE)</f>
        <v>#N/A</v>
      </c>
      <c r="J481" s="2">
        <f t="shared" si="8"/>
        <v>0</v>
      </c>
    </row>
    <row r="482" spans="1:10" x14ac:dyDescent="0.3">
      <c r="A482" s="2"/>
      <c r="C482" s="1"/>
      <c r="D482" s="1"/>
      <c r="E482" t="e">
        <f>+VLOOKUP(tbl_registro[[#This Row],[Patente]],Pivot_Equipos!$A$1:$E$39,3,FALSE)</f>
        <v>#N/A</v>
      </c>
      <c r="F482" s="2" t="e">
        <f>+VLOOKUP(tbl_registro[[#This Row],[Tipo Equipo]],Pivot_Equipos!$C$1:$E$39,2,FALSE)</f>
        <v>#N/A</v>
      </c>
      <c r="J482" s="2">
        <f t="shared" si="8"/>
        <v>0</v>
      </c>
    </row>
    <row r="483" spans="1:10" x14ac:dyDescent="0.3">
      <c r="A483" s="2"/>
      <c r="C483" s="1"/>
      <c r="D483" s="1"/>
      <c r="E483" t="e">
        <f>+VLOOKUP(tbl_registro[[#This Row],[Patente]],Pivot_Equipos!$A$1:$E$39,3,FALSE)</f>
        <v>#N/A</v>
      </c>
      <c r="F483" s="2" t="e">
        <f>+VLOOKUP(tbl_registro[[#This Row],[Tipo Equipo]],Pivot_Equipos!$C$1:$E$39,2,FALSE)</f>
        <v>#N/A</v>
      </c>
      <c r="J483" s="2">
        <f t="shared" si="8"/>
        <v>0</v>
      </c>
    </row>
    <row r="484" spans="1:10" x14ac:dyDescent="0.3">
      <c r="A484" s="2"/>
      <c r="C484" s="1"/>
      <c r="D484" s="1"/>
      <c r="E484" t="e">
        <f>+VLOOKUP(tbl_registro[[#This Row],[Patente]],Pivot_Equipos!$A$1:$E$39,3,FALSE)</f>
        <v>#N/A</v>
      </c>
      <c r="F484" s="2" t="e">
        <f>+VLOOKUP(tbl_registro[[#This Row],[Tipo Equipo]],Pivot_Equipos!$C$1:$E$39,2,FALSE)</f>
        <v>#N/A</v>
      </c>
      <c r="J484" s="2">
        <f t="shared" si="8"/>
        <v>0</v>
      </c>
    </row>
    <row r="485" spans="1:10" x14ac:dyDescent="0.3">
      <c r="A485" s="2"/>
      <c r="C485" s="1"/>
      <c r="D485" s="1"/>
      <c r="E485" t="e">
        <f>+VLOOKUP(tbl_registro[[#This Row],[Patente]],Pivot_Equipos!$A$1:$E$39,3,FALSE)</f>
        <v>#N/A</v>
      </c>
      <c r="F485" s="2" t="e">
        <f>+VLOOKUP(tbl_registro[[#This Row],[Tipo Equipo]],Pivot_Equipos!$C$1:$E$39,2,FALSE)</f>
        <v>#N/A</v>
      </c>
      <c r="J485" s="2">
        <f t="shared" si="8"/>
        <v>0</v>
      </c>
    </row>
    <row r="486" spans="1:10" x14ac:dyDescent="0.3">
      <c r="A486" s="2"/>
      <c r="C486" s="1"/>
      <c r="D486" s="1"/>
      <c r="E486" t="e">
        <f>+VLOOKUP(tbl_registro[[#This Row],[Patente]],Pivot_Equipos!$A$1:$E$39,3,FALSE)</f>
        <v>#N/A</v>
      </c>
      <c r="F486" s="2" t="e">
        <f>+VLOOKUP(tbl_registro[[#This Row],[Tipo Equipo]],Pivot_Equipos!$C$1:$E$39,2,FALSE)</f>
        <v>#N/A</v>
      </c>
      <c r="J486" s="2">
        <f t="shared" si="8"/>
        <v>0</v>
      </c>
    </row>
    <row r="487" spans="1:10" x14ac:dyDescent="0.3">
      <c r="A487" s="2"/>
      <c r="C487" s="1"/>
      <c r="D487" s="1"/>
      <c r="E487" t="e">
        <f>+VLOOKUP(tbl_registro[[#This Row],[Patente]],Pivot_Equipos!$A$1:$E$39,3,FALSE)</f>
        <v>#N/A</v>
      </c>
      <c r="F487" s="2" t="e">
        <f>+VLOOKUP(tbl_registro[[#This Row],[Tipo Equipo]],Pivot_Equipos!$C$1:$E$39,2,FALSE)</f>
        <v>#N/A</v>
      </c>
      <c r="J487" s="2">
        <f t="shared" si="8"/>
        <v>0</v>
      </c>
    </row>
    <row r="488" spans="1:10" x14ac:dyDescent="0.3">
      <c r="A488" s="2"/>
      <c r="C488" s="1"/>
      <c r="D488" s="1"/>
      <c r="E488" t="e">
        <f>+VLOOKUP(tbl_registro[[#This Row],[Patente]],Pivot_Equipos!$A$1:$E$39,3,FALSE)</f>
        <v>#N/A</v>
      </c>
      <c r="F488" s="2" t="e">
        <f>+VLOOKUP(tbl_registro[[#This Row],[Tipo Equipo]],Pivot_Equipos!$C$1:$E$39,2,FALSE)</f>
        <v>#N/A</v>
      </c>
      <c r="J488" s="2">
        <f t="shared" si="8"/>
        <v>0</v>
      </c>
    </row>
    <row r="489" spans="1:10" x14ac:dyDescent="0.3">
      <c r="A489" s="2"/>
      <c r="C489" s="1"/>
      <c r="D489" s="1"/>
      <c r="E489" t="e">
        <f>+VLOOKUP(tbl_registro[[#This Row],[Patente]],Pivot_Equipos!$A$1:$E$39,3,FALSE)</f>
        <v>#N/A</v>
      </c>
      <c r="F489" s="2" t="e">
        <f>+VLOOKUP(tbl_registro[[#This Row],[Tipo Equipo]],Pivot_Equipos!$C$1:$E$39,2,FALSE)</f>
        <v>#N/A</v>
      </c>
      <c r="J489" s="2">
        <f t="shared" si="8"/>
        <v>0</v>
      </c>
    </row>
    <row r="490" spans="1:10" x14ac:dyDescent="0.3">
      <c r="A490" s="2"/>
      <c r="C490" s="1"/>
      <c r="D490" s="1"/>
      <c r="E490" t="e">
        <f>+VLOOKUP(tbl_registro[[#This Row],[Patente]],Pivot_Equipos!$A$1:$E$39,3,FALSE)</f>
        <v>#N/A</v>
      </c>
      <c r="F490" s="2" t="e">
        <f>+VLOOKUP(tbl_registro[[#This Row],[Tipo Equipo]],Pivot_Equipos!$C$1:$E$39,2,FALSE)</f>
        <v>#N/A</v>
      </c>
      <c r="J490" s="2">
        <f t="shared" si="8"/>
        <v>0</v>
      </c>
    </row>
    <row r="491" spans="1:10" x14ac:dyDescent="0.3">
      <c r="A491" s="2"/>
      <c r="C491" s="1"/>
      <c r="D491" s="1"/>
      <c r="E491" t="e">
        <f>+VLOOKUP(tbl_registro[[#This Row],[Patente]],Pivot_Equipos!$A$1:$E$39,3,FALSE)</f>
        <v>#N/A</v>
      </c>
      <c r="F491" s="2" t="e">
        <f>+VLOOKUP(tbl_registro[[#This Row],[Tipo Equipo]],Pivot_Equipos!$C$1:$E$39,2,FALSE)</f>
        <v>#N/A</v>
      </c>
      <c r="J491" s="2">
        <f t="shared" si="8"/>
        <v>0</v>
      </c>
    </row>
    <row r="492" spans="1:10" x14ac:dyDescent="0.3">
      <c r="A492" s="2"/>
      <c r="C492" s="1"/>
      <c r="D492" s="1"/>
      <c r="E492" t="e">
        <f>+VLOOKUP(tbl_registro[[#This Row],[Patente]],Pivot_Equipos!$A$1:$E$39,3,FALSE)</f>
        <v>#N/A</v>
      </c>
      <c r="F492" s="2" t="e">
        <f>+VLOOKUP(tbl_registro[[#This Row],[Tipo Equipo]],Pivot_Equipos!$C$1:$E$39,2,FALSE)</f>
        <v>#N/A</v>
      </c>
      <c r="J492" s="2">
        <f t="shared" si="8"/>
        <v>0</v>
      </c>
    </row>
    <row r="493" spans="1:10" x14ac:dyDescent="0.3">
      <c r="A493" s="2"/>
      <c r="C493" s="1"/>
      <c r="D493" s="1"/>
      <c r="E493" t="e">
        <f>+VLOOKUP(tbl_registro[[#This Row],[Patente]],Pivot_Equipos!$A$1:$E$39,3,FALSE)</f>
        <v>#N/A</v>
      </c>
      <c r="F493" s="2" t="e">
        <f>+VLOOKUP(tbl_registro[[#This Row],[Tipo Equipo]],Pivot_Equipos!$C$1:$E$39,2,FALSE)</f>
        <v>#N/A</v>
      </c>
      <c r="J493" s="2">
        <f t="shared" si="8"/>
        <v>0</v>
      </c>
    </row>
    <row r="494" spans="1:10" x14ac:dyDescent="0.3">
      <c r="A494" s="2"/>
      <c r="C494" s="1"/>
      <c r="D494" s="1"/>
      <c r="E494" t="e">
        <f>+VLOOKUP(tbl_registro[[#This Row],[Patente]],Pivot_Equipos!$A$1:$E$39,3,FALSE)</f>
        <v>#N/A</v>
      </c>
      <c r="F494" s="2" t="e">
        <f>+VLOOKUP(tbl_registro[[#This Row],[Tipo Equipo]],Pivot_Equipos!$C$1:$E$39,2,FALSE)</f>
        <v>#N/A</v>
      </c>
      <c r="J494" s="2">
        <f t="shared" si="8"/>
        <v>0</v>
      </c>
    </row>
    <row r="495" spans="1:10" x14ac:dyDescent="0.3">
      <c r="A495" s="2"/>
      <c r="C495" s="1"/>
      <c r="D495" s="1"/>
      <c r="E495" t="e">
        <f>+VLOOKUP(tbl_registro[[#This Row],[Patente]],Pivot_Equipos!$A$1:$E$39,3,FALSE)</f>
        <v>#N/A</v>
      </c>
      <c r="F495" s="2" t="e">
        <f>+VLOOKUP(tbl_registro[[#This Row],[Tipo Equipo]],Pivot_Equipos!$C$1:$E$39,2,FALSE)</f>
        <v>#N/A</v>
      </c>
      <c r="J495" s="2">
        <f t="shared" si="8"/>
        <v>0</v>
      </c>
    </row>
    <row r="496" spans="1:10" x14ac:dyDescent="0.3">
      <c r="A496" s="2"/>
      <c r="C496" s="1"/>
      <c r="D496" s="1"/>
      <c r="E496" t="e">
        <f>+VLOOKUP(tbl_registro[[#This Row],[Patente]],Pivot_Equipos!$A$1:$E$39,3,FALSE)</f>
        <v>#N/A</v>
      </c>
      <c r="F496" s="2" t="e">
        <f>+VLOOKUP(tbl_registro[[#This Row],[Tipo Equipo]],Pivot_Equipos!$C$1:$E$39,2,FALSE)</f>
        <v>#N/A</v>
      </c>
      <c r="J496" s="2">
        <f t="shared" si="8"/>
        <v>0</v>
      </c>
    </row>
    <row r="497" spans="1:10" x14ac:dyDescent="0.3">
      <c r="A497" s="2"/>
      <c r="C497" s="1"/>
      <c r="D497" s="1"/>
      <c r="E497" t="e">
        <f>+VLOOKUP(tbl_registro[[#This Row],[Patente]],Pivot_Equipos!$A$1:$E$39,3,FALSE)</f>
        <v>#N/A</v>
      </c>
      <c r="F497" s="2" t="e">
        <f>+VLOOKUP(tbl_registro[[#This Row],[Tipo Equipo]],Pivot_Equipos!$C$1:$E$39,2,FALSE)</f>
        <v>#N/A</v>
      </c>
      <c r="J497" s="2">
        <f t="shared" si="8"/>
        <v>0</v>
      </c>
    </row>
    <row r="498" spans="1:10" x14ac:dyDescent="0.3">
      <c r="A498" s="2"/>
      <c r="C498" s="1"/>
      <c r="D498" s="1"/>
      <c r="E498" t="e">
        <f>+VLOOKUP(tbl_registro[[#This Row],[Patente]],Pivot_Equipos!$A$1:$E$39,3,FALSE)</f>
        <v>#N/A</v>
      </c>
      <c r="F498" s="2" t="e">
        <f>+VLOOKUP(tbl_registro[[#This Row],[Tipo Equipo]],Pivot_Equipos!$C$1:$E$39,2,FALSE)</f>
        <v>#N/A</v>
      </c>
      <c r="J498" s="2">
        <f t="shared" si="8"/>
        <v>0</v>
      </c>
    </row>
    <row r="499" spans="1:10" x14ac:dyDescent="0.3">
      <c r="A499" s="2"/>
      <c r="C499" s="1"/>
      <c r="D499" s="1"/>
      <c r="E499" t="e">
        <f>+VLOOKUP(tbl_registro[[#This Row],[Patente]],Pivot_Equipos!$A$1:$E$39,3,FALSE)</f>
        <v>#N/A</v>
      </c>
      <c r="F499" s="2" t="e">
        <f>+VLOOKUP(tbl_registro[[#This Row],[Tipo Equipo]],Pivot_Equipos!$C$1:$E$39,2,FALSE)</f>
        <v>#N/A</v>
      </c>
      <c r="J499" s="2">
        <f t="shared" si="8"/>
        <v>0</v>
      </c>
    </row>
    <row r="500" spans="1:10" x14ac:dyDescent="0.3">
      <c r="A500" s="2"/>
      <c r="C500" s="1"/>
      <c r="D500" s="1"/>
      <c r="E500" t="e">
        <f>+VLOOKUP(tbl_registro[[#This Row],[Patente]],Pivot_Equipos!$A$1:$E$39,3,FALSE)</f>
        <v>#N/A</v>
      </c>
      <c r="F500" s="2" t="e">
        <f>+VLOOKUP(tbl_registro[[#This Row],[Tipo Equipo]],Pivot_Equipos!$C$1:$E$39,2,FALSE)</f>
        <v>#N/A</v>
      </c>
      <c r="J500" s="2">
        <f t="shared" si="8"/>
        <v>0</v>
      </c>
    </row>
    <row r="501" spans="1:10" x14ac:dyDescent="0.3">
      <c r="A501" s="2"/>
      <c r="C501" s="1"/>
      <c r="D501" s="1"/>
      <c r="E501" t="e">
        <f>+VLOOKUP(tbl_registro[[#This Row],[Patente]],Pivot_Equipos!$A$1:$E$39,3,FALSE)</f>
        <v>#N/A</v>
      </c>
      <c r="F501" s="2" t="e">
        <f>+VLOOKUP(tbl_registro[[#This Row],[Tipo Equipo]],Pivot_Equipos!$C$1:$E$39,2,FALSE)</f>
        <v>#N/A</v>
      </c>
      <c r="J501" s="2">
        <f t="shared" si="8"/>
        <v>0</v>
      </c>
    </row>
    <row r="502" spans="1:10" x14ac:dyDescent="0.3">
      <c r="A502" s="2"/>
      <c r="C502" s="1"/>
      <c r="D502" s="1"/>
      <c r="E502" t="e">
        <f>+VLOOKUP(tbl_registro[[#This Row],[Patente]],Pivot_Equipos!$A$1:$E$39,3,FALSE)</f>
        <v>#N/A</v>
      </c>
      <c r="F502" s="2" t="e">
        <f>+VLOOKUP(tbl_registro[[#This Row],[Tipo Equipo]],Pivot_Equipos!$C$1:$E$39,2,FALSE)</f>
        <v>#N/A</v>
      </c>
      <c r="J502" s="2">
        <f t="shared" si="8"/>
        <v>0</v>
      </c>
    </row>
    <row r="503" spans="1:10" x14ac:dyDescent="0.3">
      <c r="A503" s="2"/>
      <c r="C503" s="1"/>
      <c r="D503" s="1"/>
      <c r="E503" t="e">
        <f>+VLOOKUP(tbl_registro[[#This Row],[Patente]],Pivot_Equipos!$A$1:$E$39,3,FALSE)</f>
        <v>#N/A</v>
      </c>
      <c r="F503" s="2" t="e">
        <f>+VLOOKUP(tbl_registro[[#This Row],[Tipo Equipo]],Pivot_Equipos!$C$1:$E$39,2,FALSE)</f>
        <v>#N/A</v>
      </c>
      <c r="J503" s="2">
        <f t="shared" si="8"/>
        <v>0</v>
      </c>
    </row>
    <row r="504" spans="1:10" x14ac:dyDescent="0.3">
      <c r="A504" s="2"/>
      <c r="C504" s="1"/>
      <c r="D504" s="1"/>
      <c r="E504" t="e">
        <f>+VLOOKUP(tbl_registro[[#This Row],[Patente]],Pivot_Equipos!$A$1:$E$39,3,FALSE)</f>
        <v>#N/A</v>
      </c>
      <c r="F504" s="2" t="e">
        <f>+VLOOKUP(tbl_registro[[#This Row],[Tipo Equipo]],Pivot_Equipos!$C$1:$E$39,2,FALSE)</f>
        <v>#N/A</v>
      </c>
      <c r="J504" s="2">
        <f t="shared" si="8"/>
        <v>0</v>
      </c>
    </row>
    <row r="505" spans="1:10" x14ac:dyDescent="0.3">
      <c r="A505" s="2"/>
      <c r="C505" s="1"/>
      <c r="D505" s="1"/>
      <c r="E505" t="e">
        <f>+VLOOKUP(tbl_registro[[#This Row],[Patente]],Pivot_Equipos!$A$1:$E$39,3,FALSE)</f>
        <v>#N/A</v>
      </c>
      <c r="F505" s="2" t="e">
        <f>+VLOOKUP(tbl_registro[[#This Row],[Tipo Equipo]],Pivot_Equipos!$C$1:$E$39,2,FALSE)</f>
        <v>#N/A</v>
      </c>
      <c r="J505" s="2">
        <f t="shared" si="8"/>
        <v>0</v>
      </c>
    </row>
    <row r="506" spans="1:10" x14ac:dyDescent="0.3">
      <c r="A506" s="2"/>
      <c r="C506" s="1"/>
      <c r="D506" s="1"/>
      <c r="E506" t="e">
        <f>+VLOOKUP(tbl_registro[[#This Row],[Patente]],Pivot_Equipos!$A$1:$E$39,3,FALSE)</f>
        <v>#N/A</v>
      </c>
      <c r="F506" s="2" t="e">
        <f>+VLOOKUP(tbl_registro[[#This Row],[Tipo Equipo]],Pivot_Equipos!$C$1:$E$39,2,FALSE)</f>
        <v>#N/A</v>
      </c>
      <c r="J506" s="2">
        <f t="shared" si="8"/>
        <v>0</v>
      </c>
    </row>
    <row r="507" spans="1:10" x14ac:dyDescent="0.3">
      <c r="A507" s="2"/>
      <c r="C507" s="1"/>
      <c r="D507" s="1"/>
      <c r="E507" t="e">
        <f>+VLOOKUP(tbl_registro[[#This Row],[Patente]],Pivot_Equipos!$A$1:$E$39,3,FALSE)</f>
        <v>#N/A</v>
      </c>
      <c r="F507" s="2" t="e">
        <f>+VLOOKUP(tbl_registro[[#This Row],[Tipo Equipo]],Pivot_Equipos!$C$1:$E$39,2,FALSE)</f>
        <v>#N/A</v>
      </c>
      <c r="J507" s="2">
        <f t="shared" si="8"/>
        <v>0</v>
      </c>
    </row>
    <row r="508" spans="1:10" x14ac:dyDescent="0.3">
      <c r="A508" s="2"/>
      <c r="C508" s="1"/>
      <c r="D508" s="1"/>
      <c r="E508" t="e">
        <f>+VLOOKUP(tbl_registro[[#This Row],[Patente]],Pivot_Equipos!$A$1:$E$39,3,FALSE)</f>
        <v>#N/A</v>
      </c>
      <c r="F508" s="2" t="e">
        <f>+VLOOKUP(tbl_registro[[#This Row],[Tipo Equipo]],Pivot_Equipos!$C$1:$E$39,2,FALSE)</f>
        <v>#N/A</v>
      </c>
      <c r="J508" s="2">
        <f t="shared" si="8"/>
        <v>0</v>
      </c>
    </row>
    <row r="509" spans="1:10" x14ac:dyDescent="0.3">
      <c r="A509" s="2"/>
      <c r="C509" s="1"/>
      <c r="D509" s="1"/>
      <c r="E509" t="e">
        <f>+VLOOKUP(tbl_registro[[#This Row],[Patente]],Pivot_Equipos!$A$1:$E$39,3,FALSE)</f>
        <v>#N/A</v>
      </c>
      <c r="F509" s="2" t="e">
        <f>+VLOOKUP(tbl_registro[[#This Row],[Tipo Equipo]],Pivot_Equipos!$C$1:$E$39,2,FALSE)</f>
        <v>#N/A</v>
      </c>
      <c r="J509" s="2">
        <f t="shared" si="8"/>
        <v>0</v>
      </c>
    </row>
    <row r="510" spans="1:10" x14ac:dyDescent="0.3">
      <c r="A510" s="2"/>
      <c r="C510" s="1"/>
      <c r="D510" s="1"/>
      <c r="E510" t="e">
        <f>+VLOOKUP(tbl_registro[[#This Row],[Patente]],Pivot_Equipos!$A$1:$E$39,3,FALSE)</f>
        <v>#N/A</v>
      </c>
      <c r="F510" s="2" t="e">
        <f>+VLOOKUP(tbl_registro[[#This Row],[Tipo Equipo]],Pivot_Equipos!$C$1:$E$39,2,FALSE)</f>
        <v>#N/A</v>
      </c>
      <c r="J510" s="2">
        <f t="shared" si="8"/>
        <v>0</v>
      </c>
    </row>
    <row r="511" spans="1:10" x14ac:dyDescent="0.3">
      <c r="A511" s="2"/>
      <c r="C511" s="1"/>
      <c r="D511" s="1"/>
      <c r="E511" t="e">
        <f>+VLOOKUP(tbl_registro[[#This Row],[Patente]],Pivot_Equipos!$A$1:$E$39,3,FALSE)</f>
        <v>#N/A</v>
      </c>
      <c r="F511" s="2" t="e">
        <f>+VLOOKUP(tbl_registro[[#This Row],[Tipo Equipo]],Pivot_Equipos!$C$1:$E$39,2,FALSE)</f>
        <v>#N/A</v>
      </c>
      <c r="J511" s="2">
        <f t="shared" si="8"/>
        <v>0</v>
      </c>
    </row>
    <row r="512" spans="1:10" x14ac:dyDescent="0.3">
      <c r="A512" s="2"/>
      <c r="C512" s="1"/>
      <c r="D512" s="1"/>
      <c r="E512" t="e">
        <f>+VLOOKUP(tbl_registro[[#This Row],[Patente]],Pivot_Equipos!$A$1:$E$39,3,FALSE)</f>
        <v>#N/A</v>
      </c>
      <c r="F512" s="2" t="e">
        <f>+VLOOKUP(tbl_registro[[#This Row],[Tipo Equipo]],Pivot_Equipos!$C$1:$E$39,2,FALSE)</f>
        <v>#N/A</v>
      </c>
      <c r="J512" s="2">
        <f t="shared" si="8"/>
        <v>0</v>
      </c>
    </row>
    <row r="513" spans="1:10" x14ac:dyDescent="0.3">
      <c r="A513" s="2"/>
      <c r="C513" s="1"/>
      <c r="D513" s="1"/>
      <c r="E513" t="e">
        <f>+VLOOKUP(tbl_registro[[#This Row],[Patente]],Pivot_Equipos!$A$1:$E$39,3,FALSE)</f>
        <v>#N/A</v>
      </c>
      <c r="F513" s="2" t="e">
        <f>+VLOOKUP(tbl_registro[[#This Row],[Tipo Equipo]],Pivot_Equipos!$C$1:$E$39,2,FALSE)</f>
        <v>#N/A</v>
      </c>
      <c r="J513" s="2">
        <f t="shared" si="8"/>
        <v>0</v>
      </c>
    </row>
    <row r="514" spans="1:10" x14ac:dyDescent="0.3">
      <c r="A514" s="2"/>
      <c r="C514" s="1"/>
      <c r="D514" s="1"/>
      <c r="E514" t="e">
        <f>+VLOOKUP(tbl_registro[[#This Row],[Patente]],Pivot_Equipos!$A$1:$E$39,3,FALSE)</f>
        <v>#N/A</v>
      </c>
      <c r="F514" s="2" t="e">
        <f>+VLOOKUP(tbl_registro[[#This Row],[Tipo Equipo]],Pivot_Equipos!$C$1:$E$39,2,FALSE)</f>
        <v>#N/A</v>
      </c>
      <c r="J514" s="2">
        <f t="shared" ref="J514:J577" si="9">I514-H514</f>
        <v>0</v>
      </c>
    </row>
    <row r="515" spans="1:10" x14ac:dyDescent="0.3">
      <c r="A515" s="2"/>
      <c r="C515" s="1"/>
      <c r="D515" s="1"/>
      <c r="E515" t="e">
        <f>+VLOOKUP(tbl_registro[[#This Row],[Patente]],Pivot_Equipos!$A$1:$E$39,3,FALSE)</f>
        <v>#N/A</v>
      </c>
      <c r="F515" s="2" t="e">
        <f>+VLOOKUP(tbl_registro[[#This Row],[Tipo Equipo]],Pivot_Equipos!$C$1:$E$39,2,FALSE)</f>
        <v>#N/A</v>
      </c>
      <c r="J515" s="2">
        <f t="shared" si="9"/>
        <v>0</v>
      </c>
    </row>
    <row r="516" spans="1:10" x14ac:dyDescent="0.3">
      <c r="A516" s="2"/>
      <c r="C516" s="1"/>
      <c r="D516" s="1"/>
      <c r="E516" t="e">
        <f>+VLOOKUP(tbl_registro[[#This Row],[Patente]],Pivot_Equipos!$A$1:$E$39,3,FALSE)</f>
        <v>#N/A</v>
      </c>
      <c r="F516" s="2" t="e">
        <f>+VLOOKUP(tbl_registro[[#This Row],[Tipo Equipo]],Pivot_Equipos!$C$1:$E$39,2,FALSE)</f>
        <v>#N/A</v>
      </c>
      <c r="J516" s="2">
        <f t="shared" si="9"/>
        <v>0</v>
      </c>
    </row>
    <row r="517" spans="1:10" x14ac:dyDescent="0.3">
      <c r="A517" s="2"/>
      <c r="C517" s="1"/>
      <c r="D517" s="1"/>
      <c r="E517" t="e">
        <f>+VLOOKUP(tbl_registro[[#This Row],[Patente]],Pivot_Equipos!$A$1:$E$39,3,FALSE)</f>
        <v>#N/A</v>
      </c>
      <c r="F517" s="2" t="e">
        <f>+VLOOKUP(tbl_registro[[#This Row],[Tipo Equipo]],Pivot_Equipos!$C$1:$E$39,2,FALSE)</f>
        <v>#N/A</v>
      </c>
      <c r="J517" s="2">
        <f t="shared" si="9"/>
        <v>0</v>
      </c>
    </row>
    <row r="518" spans="1:10" x14ac:dyDescent="0.3">
      <c r="A518" s="2"/>
      <c r="C518" s="1"/>
      <c r="D518" s="1"/>
      <c r="E518" t="e">
        <f>+VLOOKUP(tbl_registro[[#This Row],[Patente]],Pivot_Equipos!$A$1:$E$39,3,FALSE)</f>
        <v>#N/A</v>
      </c>
      <c r="F518" s="2" t="e">
        <f>+VLOOKUP(tbl_registro[[#This Row],[Tipo Equipo]],Pivot_Equipos!$C$1:$E$39,2,FALSE)</f>
        <v>#N/A</v>
      </c>
      <c r="J518" s="2">
        <f t="shared" si="9"/>
        <v>0</v>
      </c>
    </row>
    <row r="519" spans="1:10" x14ac:dyDescent="0.3">
      <c r="A519" s="2"/>
      <c r="C519" s="1"/>
      <c r="D519" s="1"/>
      <c r="E519" t="e">
        <f>+VLOOKUP(tbl_registro[[#This Row],[Patente]],Pivot_Equipos!$A$1:$E$39,3,FALSE)</f>
        <v>#N/A</v>
      </c>
      <c r="F519" s="2" t="e">
        <f>+VLOOKUP(tbl_registro[[#This Row],[Tipo Equipo]],Pivot_Equipos!$C$1:$E$39,2,FALSE)</f>
        <v>#N/A</v>
      </c>
      <c r="J519" s="2">
        <f t="shared" si="9"/>
        <v>0</v>
      </c>
    </row>
    <row r="520" spans="1:10" x14ac:dyDescent="0.3">
      <c r="A520" s="2"/>
      <c r="C520" s="1"/>
      <c r="D520" s="1"/>
      <c r="E520" t="e">
        <f>+VLOOKUP(tbl_registro[[#This Row],[Patente]],Pivot_Equipos!$A$1:$E$39,3,FALSE)</f>
        <v>#N/A</v>
      </c>
      <c r="F520" s="2" t="e">
        <f>+VLOOKUP(tbl_registro[[#This Row],[Tipo Equipo]],Pivot_Equipos!$C$1:$E$39,2,FALSE)</f>
        <v>#N/A</v>
      </c>
      <c r="J520" s="2">
        <f t="shared" si="9"/>
        <v>0</v>
      </c>
    </row>
    <row r="521" spans="1:10" x14ac:dyDescent="0.3">
      <c r="A521" s="2"/>
      <c r="C521" s="1"/>
      <c r="D521" s="1"/>
      <c r="E521" t="e">
        <f>+VLOOKUP(tbl_registro[[#This Row],[Patente]],Pivot_Equipos!$A$1:$E$39,3,FALSE)</f>
        <v>#N/A</v>
      </c>
      <c r="F521" s="2" t="e">
        <f>+VLOOKUP(tbl_registro[[#This Row],[Tipo Equipo]],Pivot_Equipos!$C$1:$E$39,2,FALSE)</f>
        <v>#N/A</v>
      </c>
      <c r="J521" s="2">
        <f t="shared" si="9"/>
        <v>0</v>
      </c>
    </row>
    <row r="522" spans="1:10" x14ac:dyDescent="0.3">
      <c r="A522" s="2"/>
      <c r="C522" s="1"/>
      <c r="D522" s="1"/>
      <c r="E522" t="e">
        <f>+VLOOKUP(tbl_registro[[#This Row],[Patente]],Pivot_Equipos!$A$1:$E$39,3,FALSE)</f>
        <v>#N/A</v>
      </c>
      <c r="F522" s="2" t="e">
        <f>+VLOOKUP(tbl_registro[[#This Row],[Tipo Equipo]],Pivot_Equipos!$C$1:$E$39,2,FALSE)</f>
        <v>#N/A</v>
      </c>
      <c r="J522" s="2">
        <f t="shared" si="9"/>
        <v>0</v>
      </c>
    </row>
    <row r="523" spans="1:10" x14ac:dyDescent="0.3">
      <c r="A523" s="2"/>
      <c r="C523" s="1"/>
      <c r="D523" s="1"/>
      <c r="E523" t="e">
        <f>+VLOOKUP(tbl_registro[[#This Row],[Patente]],Pivot_Equipos!$A$1:$E$39,3,FALSE)</f>
        <v>#N/A</v>
      </c>
      <c r="F523" s="2" t="e">
        <f>+VLOOKUP(tbl_registro[[#This Row],[Tipo Equipo]],Pivot_Equipos!$C$1:$E$39,2,FALSE)</f>
        <v>#N/A</v>
      </c>
      <c r="J523" s="2">
        <f t="shared" si="9"/>
        <v>0</v>
      </c>
    </row>
    <row r="524" spans="1:10" x14ac:dyDescent="0.3">
      <c r="A524" s="2"/>
      <c r="C524" s="1"/>
      <c r="D524" s="1"/>
      <c r="E524" t="e">
        <f>+VLOOKUP(tbl_registro[[#This Row],[Patente]],Pivot_Equipos!$A$1:$E$39,3,FALSE)</f>
        <v>#N/A</v>
      </c>
      <c r="F524" s="2" t="e">
        <f>+VLOOKUP(tbl_registro[[#This Row],[Tipo Equipo]],Pivot_Equipos!$C$1:$E$39,2,FALSE)</f>
        <v>#N/A</v>
      </c>
      <c r="J524" s="2">
        <f t="shared" si="9"/>
        <v>0</v>
      </c>
    </row>
    <row r="525" spans="1:10" x14ac:dyDescent="0.3">
      <c r="A525" s="2"/>
      <c r="C525" s="1"/>
      <c r="D525" s="1"/>
      <c r="E525" t="e">
        <f>+VLOOKUP(tbl_registro[[#This Row],[Patente]],Pivot_Equipos!$A$1:$E$39,3,FALSE)</f>
        <v>#N/A</v>
      </c>
      <c r="F525" s="2" t="e">
        <f>+VLOOKUP(tbl_registro[[#This Row],[Tipo Equipo]],Pivot_Equipos!$C$1:$E$39,2,FALSE)</f>
        <v>#N/A</v>
      </c>
      <c r="J525" s="2">
        <f t="shared" si="9"/>
        <v>0</v>
      </c>
    </row>
    <row r="526" spans="1:10" x14ac:dyDescent="0.3">
      <c r="A526" s="2"/>
      <c r="C526" s="1"/>
      <c r="D526" s="1"/>
      <c r="E526" t="e">
        <f>+VLOOKUP(tbl_registro[[#This Row],[Patente]],Pivot_Equipos!$A$1:$E$39,3,FALSE)</f>
        <v>#N/A</v>
      </c>
      <c r="F526" s="2" t="e">
        <f>+VLOOKUP(tbl_registro[[#This Row],[Tipo Equipo]],Pivot_Equipos!$C$1:$E$39,2,FALSE)</f>
        <v>#N/A</v>
      </c>
      <c r="J526" s="2">
        <f t="shared" si="9"/>
        <v>0</v>
      </c>
    </row>
    <row r="527" spans="1:10" x14ac:dyDescent="0.3">
      <c r="A527" s="2"/>
      <c r="C527" s="1"/>
      <c r="D527" s="1"/>
      <c r="E527" t="e">
        <f>+VLOOKUP(tbl_registro[[#This Row],[Patente]],Pivot_Equipos!$A$1:$E$39,3,FALSE)</f>
        <v>#N/A</v>
      </c>
      <c r="F527" s="2" t="e">
        <f>+VLOOKUP(tbl_registro[[#This Row],[Tipo Equipo]],Pivot_Equipos!$C$1:$E$39,2,FALSE)</f>
        <v>#N/A</v>
      </c>
      <c r="J527" s="2">
        <f t="shared" si="9"/>
        <v>0</v>
      </c>
    </row>
    <row r="528" spans="1:10" x14ac:dyDescent="0.3">
      <c r="A528" s="2"/>
      <c r="C528" s="1"/>
      <c r="D528" s="1"/>
      <c r="E528" t="e">
        <f>+VLOOKUP(tbl_registro[[#This Row],[Patente]],Pivot_Equipos!$A$1:$E$39,3,FALSE)</f>
        <v>#N/A</v>
      </c>
      <c r="F528" s="2" t="e">
        <f>+VLOOKUP(tbl_registro[[#This Row],[Tipo Equipo]],Pivot_Equipos!$C$1:$E$39,2,FALSE)</f>
        <v>#N/A</v>
      </c>
      <c r="J528" s="2">
        <f t="shared" si="9"/>
        <v>0</v>
      </c>
    </row>
    <row r="529" spans="1:10" x14ac:dyDescent="0.3">
      <c r="A529" s="2"/>
      <c r="C529" s="1"/>
      <c r="D529" s="1"/>
      <c r="E529" t="e">
        <f>+VLOOKUP(tbl_registro[[#This Row],[Patente]],Pivot_Equipos!$A$1:$E$39,3,FALSE)</f>
        <v>#N/A</v>
      </c>
      <c r="F529" s="2" t="e">
        <f>+VLOOKUP(tbl_registro[[#This Row],[Tipo Equipo]],Pivot_Equipos!$C$1:$E$39,2,FALSE)</f>
        <v>#N/A</v>
      </c>
      <c r="J529" s="2">
        <f t="shared" si="9"/>
        <v>0</v>
      </c>
    </row>
    <row r="530" spans="1:10" x14ac:dyDescent="0.3">
      <c r="A530" s="2"/>
      <c r="C530" s="1"/>
      <c r="D530" s="1"/>
      <c r="E530" t="e">
        <f>+VLOOKUP(tbl_registro[[#This Row],[Patente]],Pivot_Equipos!$A$1:$E$39,3,FALSE)</f>
        <v>#N/A</v>
      </c>
      <c r="F530" s="2" t="e">
        <f>+VLOOKUP(tbl_registro[[#This Row],[Tipo Equipo]],Pivot_Equipos!$C$1:$E$39,2,FALSE)</f>
        <v>#N/A</v>
      </c>
      <c r="J530" s="2">
        <f t="shared" si="9"/>
        <v>0</v>
      </c>
    </row>
    <row r="531" spans="1:10" x14ac:dyDescent="0.3">
      <c r="A531" s="2"/>
      <c r="C531" s="1"/>
      <c r="D531" s="1"/>
      <c r="E531" t="e">
        <f>+VLOOKUP(tbl_registro[[#This Row],[Patente]],Pivot_Equipos!$A$1:$E$39,3,FALSE)</f>
        <v>#N/A</v>
      </c>
      <c r="F531" s="2" t="e">
        <f>+VLOOKUP(tbl_registro[[#This Row],[Tipo Equipo]],Pivot_Equipos!$C$1:$E$39,2,FALSE)</f>
        <v>#N/A</v>
      </c>
      <c r="J531" s="2">
        <f t="shared" si="9"/>
        <v>0</v>
      </c>
    </row>
    <row r="532" spans="1:10" x14ac:dyDescent="0.3">
      <c r="A532" s="2"/>
      <c r="C532" s="1"/>
      <c r="D532" s="1"/>
      <c r="E532" t="e">
        <f>+VLOOKUP(tbl_registro[[#This Row],[Patente]],Pivot_Equipos!$A$1:$E$39,3,FALSE)</f>
        <v>#N/A</v>
      </c>
      <c r="F532" s="2" t="e">
        <f>+VLOOKUP(tbl_registro[[#This Row],[Tipo Equipo]],Pivot_Equipos!$C$1:$E$39,2,FALSE)</f>
        <v>#N/A</v>
      </c>
      <c r="J532" s="2">
        <f t="shared" si="9"/>
        <v>0</v>
      </c>
    </row>
    <row r="533" spans="1:10" x14ac:dyDescent="0.3">
      <c r="A533" s="2"/>
      <c r="C533" s="1"/>
      <c r="D533" s="1"/>
      <c r="E533" t="e">
        <f>+VLOOKUP(tbl_registro[[#This Row],[Patente]],Pivot_Equipos!$A$1:$E$39,3,FALSE)</f>
        <v>#N/A</v>
      </c>
      <c r="F533" s="2" t="e">
        <f>+VLOOKUP(tbl_registro[[#This Row],[Tipo Equipo]],Pivot_Equipos!$C$1:$E$39,2,FALSE)</f>
        <v>#N/A</v>
      </c>
      <c r="J533" s="2">
        <f t="shared" si="9"/>
        <v>0</v>
      </c>
    </row>
    <row r="534" spans="1:10" x14ac:dyDescent="0.3">
      <c r="A534" s="2"/>
      <c r="C534" s="1"/>
      <c r="D534" s="1"/>
      <c r="E534" t="e">
        <f>+VLOOKUP(tbl_registro[[#This Row],[Patente]],Pivot_Equipos!$A$1:$E$39,3,FALSE)</f>
        <v>#N/A</v>
      </c>
      <c r="F534" s="2" t="e">
        <f>+VLOOKUP(tbl_registro[[#This Row],[Tipo Equipo]],Pivot_Equipos!$C$1:$E$39,2,FALSE)</f>
        <v>#N/A</v>
      </c>
      <c r="J534" s="2">
        <f t="shared" si="9"/>
        <v>0</v>
      </c>
    </row>
    <row r="535" spans="1:10" x14ac:dyDescent="0.3">
      <c r="A535" s="2"/>
      <c r="C535" s="1"/>
      <c r="D535" s="1"/>
      <c r="E535" t="e">
        <f>+VLOOKUP(tbl_registro[[#This Row],[Patente]],Pivot_Equipos!$A$1:$E$39,3,FALSE)</f>
        <v>#N/A</v>
      </c>
      <c r="F535" s="2" t="e">
        <f>+VLOOKUP(tbl_registro[[#This Row],[Tipo Equipo]],Pivot_Equipos!$C$1:$E$39,2,FALSE)</f>
        <v>#N/A</v>
      </c>
      <c r="J535" s="2">
        <f t="shared" si="9"/>
        <v>0</v>
      </c>
    </row>
    <row r="536" spans="1:10" x14ac:dyDescent="0.3">
      <c r="A536" s="2"/>
      <c r="C536" s="1"/>
      <c r="D536" s="1"/>
      <c r="E536" t="e">
        <f>+VLOOKUP(tbl_registro[[#This Row],[Patente]],Pivot_Equipos!$A$1:$E$39,3,FALSE)</f>
        <v>#N/A</v>
      </c>
      <c r="F536" s="2" t="e">
        <f>+VLOOKUP(tbl_registro[[#This Row],[Tipo Equipo]],Pivot_Equipos!$C$1:$E$39,2,FALSE)</f>
        <v>#N/A</v>
      </c>
      <c r="J536" s="2">
        <f t="shared" si="9"/>
        <v>0</v>
      </c>
    </row>
    <row r="537" spans="1:10" x14ac:dyDescent="0.3">
      <c r="A537" s="2"/>
      <c r="C537" s="1"/>
      <c r="D537" s="1"/>
      <c r="E537" t="e">
        <f>+VLOOKUP(tbl_registro[[#This Row],[Patente]],Pivot_Equipos!$A$1:$E$39,3,FALSE)</f>
        <v>#N/A</v>
      </c>
      <c r="F537" s="2" t="e">
        <f>+VLOOKUP(tbl_registro[[#This Row],[Tipo Equipo]],Pivot_Equipos!$C$1:$E$39,2,FALSE)</f>
        <v>#N/A</v>
      </c>
      <c r="J537" s="2">
        <f t="shared" si="9"/>
        <v>0</v>
      </c>
    </row>
    <row r="538" spans="1:10" x14ac:dyDescent="0.3">
      <c r="A538" s="2"/>
      <c r="C538" s="1"/>
      <c r="D538" s="1"/>
      <c r="E538" t="e">
        <f>+VLOOKUP(tbl_registro[[#This Row],[Patente]],Pivot_Equipos!$A$1:$E$39,3,FALSE)</f>
        <v>#N/A</v>
      </c>
      <c r="F538" s="2" t="e">
        <f>+VLOOKUP(tbl_registro[[#This Row],[Tipo Equipo]],Pivot_Equipos!$C$1:$E$39,2,FALSE)</f>
        <v>#N/A</v>
      </c>
      <c r="J538" s="2">
        <f t="shared" si="9"/>
        <v>0</v>
      </c>
    </row>
    <row r="539" spans="1:10" x14ac:dyDescent="0.3">
      <c r="A539" s="2"/>
      <c r="C539" s="1"/>
      <c r="D539" s="1"/>
      <c r="E539" t="e">
        <f>+VLOOKUP(tbl_registro[[#This Row],[Patente]],Pivot_Equipos!$A$1:$E$39,3,FALSE)</f>
        <v>#N/A</v>
      </c>
      <c r="F539" s="2" t="e">
        <f>+VLOOKUP(tbl_registro[[#This Row],[Tipo Equipo]],Pivot_Equipos!$C$1:$E$39,2,FALSE)</f>
        <v>#N/A</v>
      </c>
      <c r="J539" s="2">
        <f t="shared" si="9"/>
        <v>0</v>
      </c>
    </row>
    <row r="540" spans="1:10" x14ac:dyDescent="0.3">
      <c r="A540" s="2"/>
      <c r="C540" s="1"/>
      <c r="D540" s="1"/>
      <c r="E540" t="e">
        <f>+VLOOKUP(tbl_registro[[#This Row],[Patente]],Pivot_Equipos!$A$1:$E$39,3,FALSE)</f>
        <v>#N/A</v>
      </c>
      <c r="F540" s="2" t="e">
        <f>+VLOOKUP(tbl_registro[[#This Row],[Tipo Equipo]],Pivot_Equipos!$C$1:$E$39,2,FALSE)</f>
        <v>#N/A</v>
      </c>
      <c r="J540" s="2">
        <f t="shared" si="9"/>
        <v>0</v>
      </c>
    </row>
    <row r="541" spans="1:10" x14ac:dyDescent="0.3">
      <c r="A541" s="2"/>
      <c r="C541" s="1"/>
      <c r="D541" s="1"/>
      <c r="E541" t="e">
        <f>+VLOOKUP(tbl_registro[[#This Row],[Patente]],Pivot_Equipos!$A$1:$E$39,3,FALSE)</f>
        <v>#N/A</v>
      </c>
      <c r="F541" s="2" t="e">
        <f>+VLOOKUP(tbl_registro[[#This Row],[Tipo Equipo]],Pivot_Equipos!$C$1:$E$39,2,FALSE)</f>
        <v>#N/A</v>
      </c>
      <c r="J541" s="2">
        <f t="shared" si="9"/>
        <v>0</v>
      </c>
    </row>
    <row r="542" spans="1:10" x14ac:dyDescent="0.3">
      <c r="A542" s="2"/>
      <c r="C542" s="1"/>
      <c r="D542" s="1"/>
      <c r="E542" t="e">
        <f>+VLOOKUP(tbl_registro[[#This Row],[Patente]],Pivot_Equipos!$A$1:$E$39,3,FALSE)</f>
        <v>#N/A</v>
      </c>
      <c r="F542" s="2" t="e">
        <f>+VLOOKUP(tbl_registro[[#This Row],[Tipo Equipo]],Pivot_Equipos!$C$1:$E$39,2,FALSE)</f>
        <v>#N/A</v>
      </c>
      <c r="J542" s="2">
        <f t="shared" si="9"/>
        <v>0</v>
      </c>
    </row>
    <row r="543" spans="1:10" x14ac:dyDescent="0.3">
      <c r="A543" s="2"/>
      <c r="C543" s="1"/>
      <c r="D543" s="1"/>
      <c r="E543" t="e">
        <f>+VLOOKUP(tbl_registro[[#This Row],[Patente]],Pivot_Equipos!$A$1:$E$39,3,FALSE)</f>
        <v>#N/A</v>
      </c>
      <c r="F543" s="2" t="e">
        <f>+VLOOKUP(tbl_registro[[#This Row],[Tipo Equipo]],Pivot_Equipos!$C$1:$E$39,2,FALSE)</f>
        <v>#N/A</v>
      </c>
      <c r="J543" s="2">
        <f t="shared" si="9"/>
        <v>0</v>
      </c>
    </row>
    <row r="544" spans="1:10" x14ac:dyDescent="0.3">
      <c r="A544" s="2"/>
      <c r="C544" s="1"/>
      <c r="D544" s="1"/>
      <c r="E544" t="e">
        <f>+VLOOKUP(tbl_registro[[#This Row],[Patente]],Pivot_Equipos!$A$1:$E$39,3,FALSE)</f>
        <v>#N/A</v>
      </c>
      <c r="F544" s="2" t="e">
        <f>+VLOOKUP(tbl_registro[[#This Row],[Tipo Equipo]],Pivot_Equipos!$C$1:$E$39,2,FALSE)</f>
        <v>#N/A</v>
      </c>
      <c r="J544" s="2">
        <f t="shared" si="9"/>
        <v>0</v>
      </c>
    </row>
    <row r="545" spans="1:10" x14ac:dyDescent="0.3">
      <c r="A545" s="2"/>
      <c r="C545" s="1"/>
      <c r="D545" s="1"/>
      <c r="E545" t="e">
        <f>+VLOOKUP(tbl_registro[[#This Row],[Patente]],Pivot_Equipos!$A$1:$E$39,3,FALSE)</f>
        <v>#N/A</v>
      </c>
      <c r="F545" s="2" t="e">
        <f>+VLOOKUP(tbl_registro[[#This Row],[Tipo Equipo]],Pivot_Equipos!$C$1:$E$39,2,FALSE)</f>
        <v>#N/A</v>
      </c>
      <c r="J545" s="2">
        <f t="shared" si="9"/>
        <v>0</v>
      </c>
    </row>
    <row r="546" spans="1:10" x14ac:dyDescent="0.3">
      <c r="A546" s="2"/>
      <c r="C546" s="1"/>
      <c r="D546" s="1"/>
      <c r="E546" t="e">
        <f>+VLOOKUP(tbl_registro[[#This Row],[Patente]],Pivot_Equipos!$A$1:$E$39,3,FALSE)</f>
        <v>#N/A</v>
      </c>
      <c r="F546" s="2" t="e">
        <f>+VLOOKUP(tbl_registro[[#This Row],[Tipo Equipo]],Pivot_Equipos!$C$1:$E$39,2,FALSE)</f>
        <v>#N/A</v>
      </c>
      <c r="J546" s="2">
        <f t="shared" si="9"/>
        <v>0</v>
      </c>
    </row>
    <row r="547" spans="1:10" x14ac:dyDescent="0.3">
      <c r="A547" s="2"/>
      <c r="C547" s="1"/>
      <c r="D547" s="1"/>
      <c r="E547" t="e">
        <f>+VLOOKUP(tbl_registro[[#This Row],[Patente]],Pivot_Equipos!$A$1:$E$39,3,FALSE)</f>
        <v>#N/A</v>
      </c>
      <c r="F547" s="2" t="e">
        <f>+VLOOKUP(tbl_registro[[#This Row],[Tipo Equipo]],Pivot_Equipos!$C$1:$E$39,2,FALSE)</f>
        <v>#N/A</v>
      </c>
      <c r="J547" s="2">
        <f t="shared" si="9"/>
        <v>0</v>
      </c>
    </row>
    <row r="548" spans="1:10" x14ac:dyDescent="0.3">
      <c r="A548" s="2"/>
      <c r="C548" s="1"/>
      <c r="D548" s="1"/>
      <c r="E548" t="e">
        <f>+VLOOKUP(tbl_registro[[#This Row],[Patente]],Pivot_Equipos!$A$1:$E$39,3,FALSE)</f>
        <v>#N/A</v>
      </c>
      <c r="F548" s="2" t="e">
        <f>+VLOOKUP(tbl_registro[[#This Row],[Tipo Equipo]],Pivot_Equipos!$C$1:$E$39,2,FALSE)</f>
        <v>#N/A</v>
      </c>
      <c r="J548" s="2">
        <f t="shared" si="9"/>
        <v>0</v>
      </c>
    </row>
    <row r="549" spans="1:10" x14ac:dyDescent="0.3">
      <c r="A549" s="2"/>
      <c r="C549" s="1"/>
      <c r="D549" s="1"/>
      <c r="E549" t="e">
        <f>+VLOOKUP(tbl_registro[[#This Row],[Patente]],Pivot_Equipos!$A$1:$E$39,3,FALSE)</f>
        <v>#N/A</v>
      </c>
      <c r="F549" s="2" t="e">
        <f>+VLOOKUP(tbl_registro[[#This Row],[Tipo Equipo]],Pivot_Equipos!$C$1:$E$39,2,FALSE)</f>
        <v>#N/A</v>
      </c>
      <c r="J549" s="2">
        <f t="shared" si="9"/>
        <v>0</v>
      </c>
    </row>
    <row r="550" spans="1:10" x14ac:dyDescent="0.3">
      <c r="A550" s="2"/>
      <c r="C550" s="1"/>
      <c r="D550" s="1"/>
      <c r="E550" t="e">
        <f>+VLOOKUP(tbl_registro[[#This Row],[Patente]],Pivot_Equipos!$A$1:$E$39,3,FALSE)</f>
        <v>#N/A</v>
      </c>
      <c r="F550" s="2" t="e">
        <f>+VLOOKUP(tbl_registro[[#This Row],[Tipo Equipo]],Pivot_Equipos!$C$1:$E$39,2,FALSE)</f>
        <v>#N/A</v>
      </c>
      <c r="J550" s="2">
        <f t="shared" si="9"/>
        <v>0</v>
      </c>
    </row>
    <row r="551" spans="1:10" x14ac:dyDescent="0.3">
      <c r="A551" s="2"/>
      <c r="C551" s="1"/>
      <c r="D551" s="1"/>
      <c r="E551" t="e">
        <f>+VLOOKUP(tbl_registro[[#This Row],[Patente]],Pivot_Equipos!$A$1:$E$39,3,FALSE)</f>
        <v>#N/A</v>
      </c>
      <c r="F551" s="2" t="e">
        <f>+VLOOKUP(tbl_registro[[#This Row],[Tipo Equipo]],Pivot_Equipos!$C$1:$E$39,2,FALSE)</f>
        <v>#N/A</v>
      </c>
      <c r="J551" s="2">
        <f t="shared" si="9"/>
        <v>0</v>
      </c>
    </row>
    <row r="552" spans="1:10" x14ac:dyDescent="0.3">
      <c r="A552" s="2"/>
      <c r="C552" s="1"/>
      <c r="D552" s="1"/>
      <c r="E552" t="e">
        <f>+VLOOKUP(tbl_registro[[#This Row],[Patente]],Pivot_Equipos!$A$1:$E$39,3,FALSE)</f>
        <v>#N/A</v>
      </c>
      <c r="F552" s="2" t="e">
        <f>+VLOOKUP(tbl_registro[[#This Row],[Tipo Equipo]],Pivot_Equipos!$C$1:$E$39,2,FALSE)</f>
        <v>#N/A</v>
      </c>
      <c r="J552" s="2">
        <f t="shared" si="9"/>
        <v>0</v>
      </c>
    </row>
    <row r="553" spans="1:10" x14ac:dyDescent="0.3">
      <c r="A553" s="2"/>
      <c r="C553" s="1"/>
      <c r="D553" s="1"/>
      <c r="E553" t="e">
        <f>+VLOOKUP(tbl_registro[[#This Row],[Patente]],Pivot_Equipos!$A$1:$E$39,3,FALSE)</f>
        <v>#N/A</v>
      </c>
      <c r="F553" s="2" t="e">
        <f>+VLOOKUP(tbl_registro[[#This Row],[Tipo Equipo]],Pivot_Equipos!$C$1:$E$39,2,FALSE)</f>
        <v>#N/A</v>
      </c>
      <c r="J553" s="2">
        <f t="shared" si="9"/>
        <v>0</v>
      </c>
    </row>
    <row r="554" spans="1:10" x14ac:dyDescent="0.3">
      <c r="A554" s="2"/>
      <c r="C554" s="1"/>
      <c r="D554" s="1"/>
      <c r="E554" t="e">
        <f>+VLOOKUP(tbl_registro[[#This Row],[Patente]],Pivot_Equipos!$A$1:$E$39,3,FALSE)</f>
        <v>#N/A</v>
      </c>
      <c r="F554" s="2" t="e">
        <f>+VLOOKUP(tbl_registro[[#This Row],[Tipo Equipo]],Pivot_Equipos!$C$1:$E$39,2,FALSE)</f>
        <v>#N/A</v>
      </c>
      <c r="J554" s="2">
        <f t="shared" si="9"/>
        <v>0</v>
      </c>
    </row>
    <row r="555" spans="1:10" x14ac:dyDescent="0.3">
      <c r="A555" s="2"/>
      <c r="C555" s="1"/>
      <c r="D555" s="1"/>
      <c r="E555" t="e">
        <f>+VLOOKUP(tbl_registro[[#This Row],[Patente]],Pivot_Equipos!$A$1:$E$39,3,FALSE)</f>
        <v>#N/A</v>
      </c>
      <c r="F555" s="2" t="e">
        <f>+VLOOKUP(tbl_registro[[#This Row],[Tipo Equipo]],Pivot_Equipos!$C$1:$E$39,2,FALSE)</f>
        <v>#N/A</v>
      </c>
      <c r="J555" s="2">
        <f t="shared" si="9"/>
        <v>0</v>
      </c>
    </row>
    <row r="556" spans="1:10" x14ac:dyDescent="0.3">
      <c r="A556" s="2"/>
      <c r="C556" s="1"/>
      <c r="D556" s="1"/>
      <c r="E556" t="e">
        <f>+VLOOKUP(tbl_registro[[#This Row],[Patente]],Pivot_Equipos!$A$1:$E$39,3,FALSE)</f>
        <v>#N/A</v>
      </c>
      <c r="F556" s="2" t="e">
        <f>+VLOOKUP(tbl_registro[[#This Row],[Tipo Equipo]],Pivot_Equipos!$C$1:$E$39,2,FALSE)</f>
        <v>#N/A</v>
      </c>
      <c r="J556" s="2">
        <f t="shared" si="9"/>
        <v>0</v>
      </c>
    </row>
    <row r="557" spans="1:10" x14ac:dyDescent="0.3">
      <c r="A557" s="2"/>
      <c r="C557" s="1"/>
      <c r="D557" s="1"/>
      <c r="E557" t="e">
        <f>+VLOOKUP(tbl_registro[[#This Row],[Patente]],Pivot_Equipos!$A$1:$E$39,3,FALSE)</f>
        <v>#N/A</v>
      </c>
      <c r="F557" s="2" t="e">
        <f>+VLOOKUP(tbl_registro[[#This Row],[Tipo Equipo]],Pivot_Equipos!$C$1:$E$39,2,FALSE)</f>
        <v>#N/A</v>
      </c>
      <c r="J557" s="2">
        <f t="shared" si="9"/>
        <v>0</v>
      </c>
    </row>
    <row r="558" spans="1:10" x14ac:dyDescent="0.3">
      <c r="A558" s="2"/>
      <c r="C558" s="1"/>
      <c r="D558" s="1"/>
      <c r="E558" t="e">
        <f>+VLOOKUP(tbl_registro[[#This Row],[Patente]],Pivot_Equipos!$A$1:$E$39,3,FALSE)</f>
        <v>#N/A</v>
      </c>
      <c r="F558" s="2" t="e">
        <f>+VLOOKUP(tbl_registro[[#This Row],[Tipo Equipo]],Pivot_Equipos!$C$1:$E$39,2,FALSE)</f>
        <v>#N/A</v>
      </c>
      <c r="J558" s="2">
        <f t="shared" si="9"/>
        <v>0</v>
      </c>
    </row>
    <row r="559" spans="1:10" x14ac:dyDescent="0.3">
      <c r="A559" s="2"/>
      <c r="C559" s="1"/>
      <c r="D559" s="1"/>
      <c r="E559" t="e">
        <f>+VLOOKUP(tbl_registro[[#This Row],[Patente]],Pivot_Equipos!$A$1:$E$39,3,FALSE)</f>
        <v>#N/A</v>
      </c>
      <c r="F559" s="2" t="e">
        <f>+VLOOKUP(tbl_registro[[#This Row],[Tipo Equipo]],Pivot_Equipos!$C$1:$E$39,2,FALSE)</f>
        <v>#N/A</v>
      </c>
      <c r="J559" s="2">
        <f t="shared" si="9"/>
        <v>0</v>
      </c>
    </row>
    <row r="560" spans="1:10" x14ac:dyDescent="0.3">
      <c r="A560" s="2"/>
      <c r="C560" s="1"/>
      <c r="D560" s="1"/>
      <c r="E560" t="e">
        <f>+VLOOKUP(tbl_registro[[#This Row],[Patente]],Pivot_Equipos!$A$1:$E$39,3,FALSE)</f>
        <v>#N/A</v>
      </c>
      <c r="F560" s="2" t="e">
        <f>+VLOOKUP(tbl_registro[[#This Row],[Tipo Equipo]],Pivot_Equipos!$C$1:$E$39,2,FALSE)</f>
        <v>#N/A</v>
      </c>
      <c r="J560" s="2">
        <f t="shared" si="9"/>
        <v>0</v>
      </c>
    </row>
    <row r="561" spans="1:10" x14ac:dyDescent="0.3">
      <c r="A561" s="2"/>
      <c r="C561" s="1"/>
      <c r="D561" s="1"/>
      <c r="E561" t="e">
        <f>+VLOOKUP(tbl_registro[[#This Row],[Patente]],Pivot_Equipos!$A$1:$E$39,3,FALSE)</f>
        <v>#N/A</v>
      </c>
      <c r="F561" s="2" t="e">
        <f>+VLOOKUP(tbl_registro[[#This Row],[Tipo Equipo]],Pivot_Equipos!$C$1:$E$39,2,FALSE)</f>
        <v>#N/A</v>
      </c>
      <c r="J561" s="2">
        <f t="shared" si="9"/>
        <v>0</v>
      </c>
    </row>
    <row r="562" spans="1:10" x14ac:dyDescent="0.3">
      <c r="A562" s="2"/>
      <c r="C562" s="1"/>
      <c r="D562" s="1"/>
      <c r="E562" t="e">
        <f>+VLOOKUP(tbl_registro[[#This Row],[Patente]],Pivot_Equipos!$A$1:$E$39,3,FALSE)</f>
        <v>#N/A</v>
      </c>
      <c r="F562" s="2" t="e">
        <f>+VLOOKUP(tbl_registro[[#This Row],[Tipo Equipo]],Pivot_Equipos!$C$1:$E$39,2,FALSE)</f>
        <v>#N/A</v>
      </c>
      <c r="J562" s="2">
        <f t="shared" si="9"/>
        <v>0</v>
      </c>
    </row>
    <row r="563" spans="1:10" x14ac:dyDescent="0.3">
      <c r="A563" s="2"/>
      <c r="C563" s="1"/>
      <c r="D563" s="1"/>
      <c r="E563" t="e">
        <f>+VLOOKUP(tbl_registro[[#This Row],[Patente]],Pivot_Equipos!$A$1:$E$39,3,FALSE)</f>
        <v>#N/A</v>
      </c>
      <c r="F563" s="2" t="e">
        <f>+VLOOKUP(tbl_registro[[#This Row],[Tipo Equipo]],Pivot_Equipos!$C$1:$E$39,2,FALSE)</f>
        <v>#N/A</v>
      </c>
      <c r="J563" s="2">
        <f t="shared" si="9"/>
        <v>0</v>
      </c>
    </row>
    <row r="564" spans="1:10" x14ac:dyDescent="0.3">
      <c r="A564" s="2"/>
      <c r="C564" s="1"/>
      <c r="D564" s="1"/>
      <c r="E564" t="e">
        <f>+VLOOKUP(tbl_registro[[#This Row],[Patente]],Pivot_Equipos!$A$1:$E$39,3,FALSE)</f>
        <v>#N/A</v>
      </c>
      <c r="F564" s="2" t="e">
        <f>+VLOOKUP(tbl_registro[[#This Row],[Tipo Equipo]],Pivot_Equipos!$C$1:$E$39,2,FALSE)</f>
        <v>#N/A</v>
      </c>
      <c r="J564" s="2">
        <f t="shared" si="9"/>
        <v>0</v>
      </c>
    </row>
    <row r="565" spans="1:10" x14ac:dyDescent="0.3">
      <c r="A565" s="2"/>
      <c r="C565" s="1"/>
      <c r="D565" s="1"/>
      <c r="E565" t="e">
        <f>+VLOOKUP(tbl_registro[[#This Row],[Patente]],Pivot_Equipos!$A$1:$E$39,3,FALSE)</f>
        <v>#N/A</v>
      </c>
      <c r="F565" s="2" t="e">
        <f>+VLOOKUP(tbl_registro[[#This Row],[Tipo Equipo]],Pivot_Equipos!$C$1:$E$39,2,FALSE)</f>
        <v>#N/A</v>
      </c>
      <c r="J565" s="2">
        <f t="shared" si="9"/>
        <v>0</v>
      </c>
    </row>
    <row r="566" spans="1:10" x14ac:dyDescent="0.3">
      <c r="A566" s="2"/>
      <c r="C566" s="1"/>
      <c r="D566" s="1"/>
      <c r="E566" t="e">
        <f>+VLOOKUP(tbl_registro[[#This Row],[Patente]],Pivot_Equipos!$A$1:$E$39,3,FALSE)</f>
        <v>#N/A</v>
      </c>
      <c r="F566" s="2" t="e">
        <f>+VLOOKUP(tbl_registro[[#This Row],[Tipo Equipo]],Pivot_Equipos!$C$1:$E$39,2,FALSE)</f>
        <v>#N/A</v>
      </c>
      <c r="J566" s="2">
        <f t="shared" si="9"/>
        <v>0</v>
      </c>
    </row>
    <row r="567" spans="1:10" x14ac:dyDescent="0.3">
      <c r="A567" s="2"/>
      <c r="C567" s="1"/>
      <c r="D567" s="1"/>
      <c r="E567" t="e">
        <f>+VLOOKUP(tbl_registro[[#This Row],[Patente]],Pivot_Equipos!$A$1:$E$39,3,FALSE)</f>
        <v>#N/A</v>
      </c>
      <c r="F567" s="2" t="e">
        <f>+VLOOKUP(tbl_registro[[#This Row],[Tipo Equipo]],Pivot_Equipos!$C$1:$E$39,2,FALSE)</f>
        <v>#N/A</v>
      </c>
      <c r="J567" s="2">
        <f t="shared" si="9"/>
        <v>0</v>
      </c>
    </row>
    <row r="568" spans="1:10" x14ac:dyDescent="0.3">
      <c r="A568" s="2"/>
      <c r="C568" s="1"/>
      <c r="D568" s="1"/>
      <c r="E568" t="e">
        <f>+VLOOKUP(tbl_registro[[#This Row],[Patente]],Pivot_Equipos!$A$1:$E$39,3,FALSE)</f>
        <v>#N/A</v>
      </c>
      <c r="F568" s="2" t="e">
        <f>+VLOOKUP(tbl_registro[[#This Row],[Tipo Equipo]],Pivot_Equipos!$C$1:$E$39,2,FALSE)</f>
        <v>#N/A</v>
      </c>
      <c r="J568" s="2">
        <f t="shared" si="9"/>
        <v>0</v>
      </c>
    </row>
    <row r="569" spans="1:10" x14ac:dyDescent="0.3">
      <c r="A569" s="2"/>
      <c r="C569" s="1"/>
      <c r="D569" s="1"/>
      <c r="E569" t="e">
        <f>+VLOOKUP(tbl_registro[[#This Row],[Patente]],Pivot_Equipos!$A$1:$E$39,3,FALSE)</f>
        <v>#N/A</v>
      </c>
      <c r="F569" s="2" t="e">
        <f>+VLOOKUP(tbl_registro[[#This Row],[Tipo Equipo]],Pivot_Equipos!$C$1:$E$39,2,FALSE)</f>
        <v>#N/A</v>
      </c>
      <c r="J569" s="2">
        <f t="shared" si="9"/>
        <v>0</v>
      </c>
    </row>
    <row r="570" spans="1:10" x14ac:dyDescent="0.3">
      <c r="A570" s="2"/>
      <c r="C570" s="1"/>
      <c r="D570" s="1"/>
      <c r="E570" t="e">
        <f>+VLOOKUP(tbl_registro[[#This Row],[Patente]],Pivot_Equipos!$A$1:$E$39,3,FALSE)</f>
        <v>#N/A</v>
      </c>
      <c r="F570" s="2" t="e">
        <f>+VLOOKUP(tbl_registro[[#This Row],[Tipo Equipo]],Pivot_Equipos!$C$1:$E$39,2,FALSE)</f>
        <v>#N/A</v>
      </c>
      <c r="J570" s="2">
        <f t="shared" si="9"/>
        <v>0</v>
      </c>
    </row>
    <row r="571" spans="1:10" x14ac:dyDescent="0.3">
      <c r="A571" s="2"/>
      <c r="C571" s="1"/>
      <c r="D571" s="1"/>
      <c r="E571" t="e">
        <f>+VLOOKUP(tbl_registro[[#This Row],[Patente]],Pivot_Equipos!$A$1:$E$39,3,FALSE)</f>
        <v>#N/A</v>
      </c>
      <c r="F571" s="2" t="e">
        <f>+VLOOKUP(tbl_registro[[#This Row],[Tipo Equipo]],Pivot_Equipos!$C$1:$E$39,2,FALSE)</f>
        <v>#N/A</v>
      </c>
      <c r="J571" s="2">
        <f t="shared" si="9"/>
        <v>0</v>
      </c>
    </row>
    <row r="572" spans="1:10" x14ac:dyDescent="0.3">
      <c r="A572" s="2"/>
      <c r="C572" s="1"/>
      <c r="D572" s="1"/>
      <c r="E572" t="e">
        <f>+VLOOKUP(tbl_registro[[#This Row],[Patente]],Pivot_Equipos!$A$1:$E$39,3,FALSE)</f>
        <v>#N/A</v>
      </c>
      <c r="F572" s="2" t="e">
        <f>+VLOOKUP(tbl_registro[[#This Row],[Tipo Equipo]],Pivot_Equipos!$C$1:$E$39,2,FALSE)</f>
        <v>#N/A</v>
      </c>
      <c r="J572" s="2">
        <f t="shared" si="9"/>
        <v>0</v>
      </c>
    </row>
    <row r="573" spans="1:10" x14ac:dyDescent="0.3">
      <c r="A573" s="2"/>
      <c r="C573" s="1"/>
      <c r="D573" s="1"/>
      <c r="E573" t="e">
        <f>+VLOOKUP(tbl_registro[[#This Row],[Patente]],Pivot_Equipos!$A$1:$E$39,3,FALSE)</f>
        <v>#N/A</v>
      </c>
      <c r="F573" s="2" t="e">
        <f>+VLOOKUP(tbl_registro[[#This Row],[Tipo Equipo]],Pivot_Equipos!$C$1:$E$39,2,FALSE)</f>
        <v>#N/A</v>
      </c>
      <c r="J573" s="2">
        <f t="shared" si="9"/>
        <v>0</v>
      </c>
    </row>
    <row r="574" spans="1:10" x14ac:dyDescent="0.3">
      <c r="A574" s="2"/>
      <c r="C574" s="1"/>
      <c r="D574" s="1"/>
      <c r="E574" t="e">
        <f>+VLOOKUP(tbl_registro[[#This Row],[Patente]],Pivot_Equipos!$A$1:$E$39,3,FALSE)</f>
        <v>#N/A</v>
      </c>
      <c r="F574" s="2" t="e">
        <f>+VLOOKUP(tbl_registro[[#This Row],[Tipo Equipo]],Pivot_Equipos!$C$1:$E$39,2,FALSE)</f>
        <v>#N/A</v>
      </c>
      <c r="J574" s="2">
        <f t="shared" si="9"/>
        <v>0</v>
      </c>
    </row>
    <row r="575" spans="1:10" x14ac:dyDescent="0.3">
      <c r="A575" s="2"/>
      <c r="C575" s="1"/>
      <c r="D575" s="1"/>
      <c r="E575" t="e">
        <f>+VLOOKUP(tbl_registro[[#This Row],[Patente]],Pivot_Equipos!$A$1:$E$39,3,FALSE)</f>
        <v>#N/A</v>
      </c>
      <c r="F575" s="2" t="e">
        <f>+VLOOKUP(tbl_registro[[#This Row],[Tipo Equipo]],Pivot_Equipos!$C$1:$E$39,2,FALSE)</f>
        <v>#N/A</v>
      </c>
      <c r="J575" s="2">
        <f t="shared" si="9"/>
        <v>0</v>
      </c>
    </row>
    <row r="576" spans="1:10" x14ac:dyDescent="0.3">
      <c r="A576" s="2"/>
      <c r="C576" s="1"/>
      <c r="D576" s="1"/>
      <c r="E576" t="e">
        <f>+VLOOKUP(tbl_registro[[#This Row],[Patente]],Pivot_Equipos!$A$1:$E$39,3,FALSE)</f>
        <v>#N/A</v>
      </c>
      <c r="F576" s="2" t="e">
        <f>+VLOOKUP(tbl_registro[[#This Row],[Tipo Equipo]],Pivot_Equipos!$C$1:$E$39,2,FALSE)</f>
        <v>#N/A</v>
      </c>
      <c r="J576" s="2">
        <f t="shared" si="9"/>
        <v>0</v>
      </c>
    </row>
    <row r="577" spans="1:10" x14ac:dyDescent="0.3">
      <c r="A577" s="2"/>
      <c r="C577" s="1"/>
      <c r="D577" s="1"/>
      <c r="E577" t="e">
        <f>+VLOOKUP(tbl_registro[[#This Row],[Patente]],Pivot_Equipos!$A$1:$E$39,3,FALSE)</f>
        <v>#N/A</v>
      </c>
      <c r="F577" s="2" t="e">
        <f>+VLOOKUP(tbl_registro[[#This Row],[Tipo Equipo]],Pivot_Equipos!$C$1:$E$39,2,FALSE)</f>
        <v>#N/A</v>
      </c>
      <c r="J577" s="2">
        <f t="shared" si="9"/>
        <v>0</v>
      </c>
    </row>
    <row r="578" spans="1:10" x14ac:dyDescent="0.3">
      <c r="A578" s="2"/>
      <c r="C578" s="1"/>
      <c r="D578" s="1"/>
      <c r="E578" t="e">
        <f>+VLOOKUP(tbl_registro[[#This Row],[Patente]],Pivot_Equipos!$A$1:$E$39,3,FALSE)</f>
        <v>#N/A</v>
      </c>
      <c r="F578" s="2" t="e">
        <f>+VLOOKUP(tbl_registro[[#This Row],[Tipo Equipo]],Pivot_Equipos!$C$1:$E$39,2,FALSE)</f>
        <v>#N/A</v>
      </c>
      <c r="J578" s="2">
        <f t="shared" ref="J578:J641" si="10">I578-H578</f>
        <v>0</v>
      </c>
    </row>
    <row r="579" spans="1:10" x14ac:dyDescent="0.3">
      <c r="A579" s="2"/>
      <c r="C579" s="1"/>
      <c r="D579" s="1"/>
      <c r="E579" t="e">
        <f>+VLOOKUP(tbl_registro[[#This Row],[Patente]],Pivot_Equipos!$A$1:$E$39,3,FALSE)</f>
        <v>#N/A</v>
      </c>
      <c r="F579" s="2" t="e">
        <f>+VLOOKUP(tbl_registro[[#This Row],[Tipo Equipo]],Pivot_Equipos!$C$1:$E$39,2,FALSE)</f>
        <v>#N/A</v>
      </c>
      <c r="J579" s="2">
        <f t="shared" si="10"/>
        <v>0</v>
      </c>
    </row>
    <row r="580" spans="1:10" x14ac:dyDescent="0.3">
      <c r="A580" s="2"/>
      <c r="C580" s="1"/>
      <c r="D580" s="1"/>
      <c r="E580" t="e">
        <f>+VLOOKUP(tbl_registro[[#This Row],[Patente]],Pivot_Equipos!$A$1:$E$39,3,FALSE)</f>
        <v>#N/A</v>
      </c>
      <c r="F580" s="2" t="e">
        <f>+VLOOKUP(tbl_registro[[#This Row],[Tipo Equipo]],Pivot_Equipos!$C$1:$E$39,2,FALSE)</f>
        <v>#N/A</v>
      </c>
      <c r="J580" s="2">
        <f t="shared" si="10"/>
        <v>0</v>
      </c>
    </row>
    <row r="581" spans="1:10" x14ac:dyDescent="0.3">
      <c r="A581" s="2"/>
      <c r="C581" s="1"/>
      <c r="D581" s="1"/>
      <c r="E581" t="e">
        <f>+VLOOKUP(tbl_registro[[#This Row],[Patente]],Pivot_Equipos!$A$1:$E$39,3,FALSE)</f>
        <v>#N/A</v>
      </c>
      <c r="F581" s="2" t="e">
        <f>+VLOOKUP(tbl_registro[[#This Row],[Tipo Equipo]],Pivot_Equipos!$C$1:$E$39,2,FALSE)</f>
        <v>#N/A</v>
      </c>
      <c r="J581" s="2">
        <f t="shared" si="10"/>
        <v>0</v>
      </c>
    </row>
    <row r="582" spans="1:10" x14ac:dyDescent="0.3">
      <c r="A582" s="2"/>
      <c r="C582" s="1"/>
      <c r="D582" s="1"/>
      <c r="E582" t="e">
        <f>+VLOOKUP(tbl_registro[[#This Row],[Patente]],Pivot_Equipos!$A$1:$E$39,3,FALSE)</f>
        <v>#N/A</v>
      </c>
      <c r="F582" s="2" t="e">
        <f>+VLOOKUP(tbl_registro[[#This Row],[Tipo Equipo]],Pivot_Equipos!$C$1:$E$39,2,FALSE)</f>
        <v>#N/A</v>
      </c>
      <c r="J582" s="2">
        <f t="shared" si="10"/>
        <v>0</v>
      </c>
    </row>
    <row r="583" spans="1:10" x14ac:dyDescent="0.3">
      <c r="A583" s="2"/>
      <c r="C583" s="1"/>
      <c r="D583" s="1"/>
      <c r="E583" t="e">
        <f>+VLOOKUP(tbl_registro[[#This Row],[Patente]],Pivot_Equipos!$A$1:$E$39,3,FALSE)</f>
        <v>#N/A</v>
      </c>
      <c r="F583" s="2" t="e">
        <f>+VLOOKUP(tbl_registro[[#This Row],[Tipo Equipo]],Pivot_Equipos!$C$1:$E$39,2,FALSE)</f>
        <v>#N/A</v>
      </c>
      <c r="J583" s="2">
        <f t="shared" si="10"/>
        <v>0</v>
      </c>
    </row>
    <row r="584" spans="1:10" x14ac:dyDescent="0.3">
      <c r="A584" s="2"/>
      <c r="C584" s="1"/>
      <c r="D584" s="1"/>
      <c r="E584" t="e">
        <f>+VLOOKUP(tbl_registro[[#This Row],[Patente]],Pivot_Equipos!$A$1:$E$39,3,FALSE)</f>
        <v>#N/A</v>
      </c>
      <c r="F584" s="2" t="e">
        <f>+VLOOKUP(tbl_registro[[#This Row],[Tipo Equipo]],Pivot_Equipos!$C$1:$E$39,2,FALSE)</f>
        <v>#N/A</v>
      </c>
      <c r="J584" s="2">
        <f t="shared" si="10"/>
        <v>0</v>
      </c>
    </row>
    <row r="585" spans="1:10" x14ac:dyDescent="0.3">
      <c r="A585" s="2"/>
      <c r="C585" s="1"/>
      <c r="D585" s="1"/>
      <c r="E585" t="e">
        <f>+VLOOKUP(tbl_registro[[#This Row],[Patente]],Pivot_Equipos!$A$1:$E$39,3,FALSE)</f>
        <v>#N/A</v>
      </c>
      <c r="F585" s="2" t="e">
        <f>+VLOOKUP(tbl_registro[[#This Row],[Tipo Equipo]],Pivot_Equipos!$C$1:$E$39,2,FALSE)</f>
        <v>#N/A</v>
      </c>
      <c r="J585" s="2">
        <f t="shared" si="10"/>
        <v>0</v>
      </c>
    </row>
    <row r="586" spans="1:10" x14ac:dyDescent="0.3">
      <c r="A586" s="2"/>
      <c r="C586" s="1"/>
      <c r="D586" s="1"/>
      <c r="E586" t="e">
        <f>+VLOOKUP(tbl_registro[[#This Row],[Patente]],Pivot_Equipos!$A$1:$E$39,3,FALSE)</f>
        <v>#N/A</v>
      </c>
      <c r="F586" s="2" t="e">
        <f>+VLOOKUP(tbl_registro[[#This Row],[Tipo Equipo]],Pivot_Equipos!$C$1:$E$39,2,FALSE)</f>
        <v>#N/A</v>
      </c>
      <c r="J586" s="2">
        <f t="shared" si="10"/>
        <v>0</v>
      </c>
    </row>
    <row r="587" spans="1:10" x14ac:dyDescent="0.3">
      <c r="A587" s="2"/>
      <c r="C587" s="1"/>
      <c r="D587" s="1"/>
      <c r="E587" t="e">
        <f>+VLOOKUP(tbl_registro[[#This Row],[Patente]],Pivot_Equipos!$A$1:$E$39,3,FALSE)</f>
        <v>#N/A</v>
      </c>
      <c r="F587" s="2" t="e">
        <f>+VLOOKUP(tbl_registro[[#This Row],[Tipo Equipo]],Pivot_Equipos!$C$1:$E$39,2,FALSE)</f>
        <v>#N/A</v>
      </c>
      <c r="J587" s="2">
        <f t="shared" si="10"/>
        <v>0</v>
      </c>
    </row>
    <row r="588" spans="1:10" x14ac:dyDescent="0.3">
      <c r="A588" s="2"/>
      <c r="C588" s="1"/>
      <c r="D588" s="1"/>
      <c r="E588" t="e">
        <f>+VLOOKUP(tbl_registro[[#This Row],[Patente]],Pivot_Equipos!$A$1:$E$39,3,FALSE)</f>
        <v>#N/A</v>
      </c>
      <c r="F588" s="2" t="e">
        <f>+VLOOKUP(tbl_registro[[#This Row],[Tipo Equipo]],Pivot_Equipos!$C$1:$E$39,2,FALSE)</f>
        <v>#N/A</v>
      </c>
      <c r="J588" s="2">
        <f t="shared" si="10"/>
        <v>0</v>
      </c>
    </row>
    <row r="589" spans="1:10" x14ac:dyDescent="0.3">
      <c r="A589" s="2"/>
      <c r="C589" s="1"/>
      <c r="D589" s="1"/>
      <c r="E589" t="e">
        <f>+VLOOKUP(tbl_registro[[#This Row],[Patente]],Pivot_Equipos!$A$1:$E$39,3,FALSE)</f>
        <v>#N/A</v>
      </c>
      <c r="F589" s="2" t="e">
        <f>+VLOOKUP(tbl_registro[[#This Row],[Tipo Equipo]],Pivot_Equipos!$C$1:$E$39,2,FALSE)</f>
        <v>#N/A</v>
      </c>
      <c r="J589" s="2">
        <f t="shared" si="10"/>
        <v>0</v>
      </c>
    </row>
    <row r="590" spans="1:10" x14ac:dyDescent="0.3">
      <c r="A590" s="2"/>
      <c r="C590" s="1"/>
      <c r="D590" s="1"/>
      <c r="E590" t="e">
        <f>+VLOOKUP(tbl_registro[[#This Row],[Patente]],Pivot_Equipos!$A$1:$E$39,3,FALSE)</f>
        <v>#N/A</v>
      </c>
      <c r="F590" s="2" t="e">
        <f>+VLOOKUP(tbl_registro[[#This Row],[Tipo Equipo]],Pivot_Equipos!$C$1:$E$39,2,FALSE)</f>
        <v>#N/A</v>
      </c>
      <c r="J590" s="2">
        <f t="shared" si="10"/>
        <v>0</v>
      </c>
    </row>
    <row r="591" spans="1:10" x14ac:dyDescent="0.3">
      <c r="A591" s="2"/>
      <c r="C591" s="1"/>
      <c r="D591" s="1"/>
      <c r="E591" t="e">
        <f>+VLOOKUP(tbl_registro[[#This Row],[Patente]],Pivot_Equipos!$A$1:$E$39,3,FALSE)</f>
        <v>#N/A</v>
      </c>
      <c r="F591" s="2" t="e">
        <f>+VLOOKUP(tbl_registro[[#This Row],[Tipo Equipo]],Pivot_Equipos!$C$1:$E$39,2,FALSE)</f>
        <v>#N/A</v>
      </c>
      <c r="J591" s="2">
        <f t="shared" si="10"/>
        <v>0</v>
      </c>
    </row>
    <row r="592" spans="1:10" x14ac:dyDescent="0.3">
      <c r="A592" s="2"/>
      <c r="C592" s="1"/>
      <c r="D592" s="1"/>
      <c r="E592" t="e">
        <f>+VLOOKUP(tbl_registro[[#This Row],[Patente]],Pivot_Equipos!$A$1:$E$39,3,FALSE)</f>
        <v>#N/A</v>
      </c>
      <c r="F592" s="2" t="e">
        <f>+VLOOKUP(tbl_registro[[#This Row],[Tipo Equipo]],Pivot_Equipos!$C$1:$E$39,2,FALSE)</f>
        <v>#N/A</v>
      </c>
      <c r="J592" s="2">
        <f t="shared" si="10"/>
        <v>0</v>
      </c>
    </row>
    <row r="593" spans="1:10" x14ac:dyDescent="0.3">
      <c r="A593" s="2"/>
      <c r="C593" s="1"/>
      <c r="D593" s="1"/>
      <c r="E593" t="e">
        <f>+VLOOKUP(tbl_registro[[#This Row],[Patente]],Pivot_Equipos!$A$1:$E$39,3,FALSE)</f>
        <v>#N/A</v>
      </c>
      <c r="F593" s="2" t="e">
        <f>+VLOOKUP(tbl_registro[[#This Row],[Tipo Equipo]],Pivot_Equipos!$C$1:$E$39,2,FALSE)</f>
        <v>#N/A</v>
      </c>
      <c r="J593" s="2">
        <f t="shared" si="10"/>
        <v>0</v>
      </c>
    </row>
    <row r="594" spans="1:10" x14ac:dyDescent="0.3">
      <c r="A594" s="2"/>
      <c r="C594" s="1"/>
      <c r="D594" s="1"/>
      <c r="E594" t="e">
        <f>+VLOOKUP(tbl_registro[[#This Row],[Patente]],Pivot_Equipos!$A$1:$E$39,3,FALSE)</f>
        <v>#N/A</v>
      </c>
      <c r="F594" s="2" t="e">
        <f>+VLOOKUP(tbl_registro[[#This Row],[Tipo Equipo]],Pivot_Equipos!$C$1:$E$39,2,FALSE)</f>
        <v>#N/A</v>
      </c>
      <c r="J594" s="2">
        <f t="shared" si="10"/>
        <v>0</v>
      </c>
    </row>
    <row r="595" spans="1:10" x14ac:dyDescent="0.3">
      <c r="A595" s="2"/>
      <c r="C595" s="1"/>
      <c r="D595" s="1"/>
      <c r="E595" t="e">
        <f>+VLOOKUP(tbl_registro[[#This Row],[Patente]],Pivot_Equipos!$A$1:$E$39,3,FALSE)</f>
        <v>#N/A</v>
      </c>
      <c r="F595" s="2" t="e">
        <f>+VLOOKUP(tbl_registro[[#This Row],[Tipo Equipo]],Pivot_Equipos!$C$1:$E$39,2,FALSE)</f>
        <v>#N/A</v>
      </c>
      <c r="J595" s="2">
        <f t="shared" si="10"/>
        <v>0</v>
      </c>
    </row>
    <row r="596" spans="1:10" x14ac:dyDescent="0.3">
      <c r="A596" s="2"/>
      <c r="C596" s="1"/>
      <c r="D596" s="1"/>
      <c r="E596" t="e">
        <f>+VLOOKUP(tbl_registro[[#This Row],[Patente]],Pivot_Equipos!$A$1:$E$39,3,FALSE)</f>
        <v>#N/A</v>
      </c>
      <c r="F596" s="2" t="e">
        <f>+VLOOKUP(tbl_registro[[#This Row],[Tipo Equipo]],Pivot_Equipos!$C$1:$E$39,2,FALSE)</f>
        <v>#N/A</v>
      </c>
      <c r="J596" s="2">
        <f t="shared" si="10"/>
        <v>0</v>
      </c>
    </row>
    <row r="597" spans="1:10" x14ac:dyDescent="0.3">
      <c r="A597" s="2"/>
      <c r="C597" s="1"/>
      <c r="D597" s="1"/>
      <c r="E597" t="e">
        <f>+VLOOKUP(tbl_registro[[#This Row],[Patente]],Pivot_Equipos!$A$1:$E$39,3,FALSE)</f>
        <v>#N/A</v>
      </c>
      <c r="F597" s="2" t="e">
        <f>+VLOOKUP(tbl_registro[[#This Row],[Tipo Equipo]],Pivot_Equipos!$C$1:$E$39,2,FALSE)</f>
        <v>#N/A</v>
      </c>
      <c r="J597" s="2">
        <f t="shared" si="10"/>
        <v>0</v>
      </c>
    </row>
    <row r="598" spans="1:10" x14ac:dyDescent="0.3">
      <c r="A598" s="2"/>
      <c r="C598" s="1"/>
      <c r="D598" s="1"/>
      <c r="E598" t="e">
        <f>+VLOOKUP(tbl_registro[[#This Row],[Patente]],Pivot_Equipos!$A$1:$E$39,3,FALSE)</f>
        <v>#N/A</v>
      </c>
      <c r="F598" s="2" t="e">
        <f>+VLOOKUP(tbl_registro[[#This Row],[Tipo Equipo]],Pivot_Equipos!$C$1:$E$39,2,FALSE)</f>
        <v>#N/A</v>
      </c>
      <c r="J598" s="2">
        <f t="shared" si="10"/>
        <v>0</v>
      </c>
    </row>
    <row r="599" spans="1:10" x14ac:dyDescent="0.3">
      <c r="A599" s="2"/>
      <c r="C599" s="1"/>
      <c r="D599" s="1"/>
      <c r="E599" t="e">
        <f>+VLOOKUP(tbl_registro[[#This Row],[Patente]],Pivot_Equipos!$A$1:$E$39,3,FALSE)</f>
        <v>#N/A</v>
      </c>
      <c r="F599" s="2" t="e">
        <f>+VLOOKUP(tbl_registro[[#This Row],[Tipo Equipo]],Pivot_Equipos!$C$1:$E$39,2,FALSE)</f>
        <v>#N/A</v>
      </c>
      <c r="J599" s="2">
        <f t="shared" si="10"/>
        <v>0</v>
      </c>
    </row>
    <row r="600" spans="1:10" x14ac:dyDescent="0.3">
      <c r="A600" s="2"/>
      <c r="C600" s="1"/>
      <c r="D600" s="1"/>
      <c r="E600" t="e">
        <f>+VLOOKUP(tbl_registro[[#This Row],[Patente]],Pivot_Equipos!$A$1:$E$39,3,FALSE)</f>
        <v>#N/A</v>
      </c>
      <c r="F600" s="2" t="e">
        <f>+VLOOKUP(tbl_registro[[#This Row],[Tipo Equipo]],Pivot_Equipos!$C$1:$E$39,2,FALSE)</f>
        <v>#N/A</v>
      </c>
      <c r="J600" s="2">
        <f t="shared" si="10"/>
        <v>0</v>
      </c>
    </row>
    <row r="601" spans="1:10" x14ac:dyDescent="0.3">
      <c r="A601" s="2"/>
      <c r="C601" s="1"/>
      <c r="D601" s="1"/>
      <c r="E601" t="e">
        <f>+VLOOKUP(tbl_registro[[#This Row],[Patente]],Pivot_Equipos!$A$1:$E$39,3,FALSE)</f>
        <v>#N/A</v>
      </c>
      <c r="F601" s="2" t="e">
        <f>+VLOOKUP(tbl_registro[[#This Row],[Tipo Equipo]],Pivot_Equipos!$C$1:$E$39,2,FALSE)</f>
        <v>#N/A</v>
      </c>
      <c r="J601" s="2">
        <f t="shared" si="10"/>
        <v>0</v>
      </c>
    </row>
    <row r="602" spans="1:10" x14ac:dyDescent="0.3">
      <c r="A602" s="2"/>
      <c r="C602" s="1"/>
      <c r="D602" s="1"/>
      <c r="E602" t="e">
        <f>+VLOOKUP(tbl_registro[[#This Row],[Patente]],Pivot_Equipos!$A$1:$E$39,3,FALSE)</f>
        <v>#N/A</v>
      </c>
      <c r="F602" s="2" t="e">
        <f>+VLOOKUP(tbl_registro[[#This Row],[Tipo Equipo]],Pivot_Equipos!$C$1:$E$39,2,FALSE)</f>
        <v>#N/A</v>
      </c>
      <c r="J602" s="2">
        <f t="shared" si="10"/>
        <v>0</v>
      </c>
    </row>
    <row r="603" spans="1:10" x14ac:dyDescent="0.3">
      <c r="A603" s="2"/>
      <c r="C603" s="1"/>
      <c r="D603" s="1"/>
      <c r="E603" t="e">
        <f>+VLOOKUP(tbl_registro[[#This Row],[Patente]],Pivot_Equipos!$A$1:$E$39,3,FALSE)</f>
        <v>#N/A</v>
      </c>
      <c r="F603" s="2" t="e">
        <f>+VLOOKUP(tbl_registro[[#This Row],[Tipo Equipo]],Pivot_Equipos!$C$1:$E$39,2,FALSE)</f>
        <v>#N/A</v>
      </c>
      <c r="J603" s="2">
        <f t="shared" si="10"/>
        <v>0</v>
      </c>
    </row>
    <row r="604" spans="1:10" x14ac:dyDescent="0.3">
      <c r="A604" s="2"/>
      <c r="C604" s="1"/>
      <c r="D604" s="1"/>
      <c r="E604" t="e">
        <f>+VLOOKUP(tbl_registro[[#This Row],[Patente]],Pivot_Equipos!$A$1:$E$39,3,FALSE)</f>
        <v>#N/A</v>
      </c>
      <c r="F604" s="2" t="e">
        <f>+VLOOKUP(tbl_registro[[#This Row],[Tipo Equipo]],Pivot_Equipos!$C$1:$E$39,2,FALSE)</f>
        <v>#N/A</v>
      </c>
      <c r="J604" s="2">
        <f t="shared" si="10"/>
        <v>0</v>
      </c>
    </row>
    <row r="605" spans="1:10" x14ac:dyDescent="0.3">
      <c r="A605" s="2"/>
      <c r="C605" s="1"/>
      <c r="D605" s="1"/>
      <c r="E605" t="e">
        <f>+VLOOKUP(tbl_registro[[#This Row],[Patente]],Pivot_Equipos!$A$1:$E$39,3,FALSE)</f>
        <v>#N/A</v>
      </c>
      <c r="F605" s="2" t="e">
        <f>+VLOOKUP(tbl_registro[[#This Row],[Tipo Equipo]],Pivot_Equipos!$C$1:$E$39,2,FALSE)</f>
        <v>#N/A</v>
      </c>
      <c r="J605" s="2">
        <f t="shared" si="10"/>
        <v>0</v>
      </c>
    </row>
    <row r="606" spans="1:10" x14ac:dyDescent="0.3">
      <c r="A606" s="2"/>
      <c r="C606" s="1"/>
      <c r="D606" s="1"/>
      <c r="E606" t="e">
        <f>+VLOOKUP(tbl_registro[[#This Row],[Patente]],Pivot_Equipos!$A$1:$E$39,3,FALSE)</f>
        <v>#N/A</v>
      </c>
      <c r="F606" s="2" t="e">
        <f>+VLOOKUP(tbl_registro[[#This Row],[Tipo Equipo]],Pivot_Equipos!$C$1:$E$39,2,FALSE)</f>
        <v>#N/A</v>
      </c>
      <c r="J606" s="2">
        <f t="shared" si="10"/>
        <v>0</v>
      </c>
    </row>
    <row r="607" spans="1:10" x14ac:dyDescent="0.3">
      <c r="A607" s="2"/>
      <c r="C607" s="1"/>
      <c r="D607" s="1"/>
      <c r="E607" t="e">
        <f>+VLOOKUP(tbl_registro[[#This Row],[Patente]],Pivot_Equipos!$A$1:$E$39,3,FALSE)</f>
        <v>#N/A</v>
      </c>
      <c r="F607" s="2" t="e">
        <f>+VLOOKUP(tbl_registro[[#This Row],[Tipo Equipo]],Pivot_Equipos!$C$1:$E$39,2,FALSE)</f>
        <v>#N/A</v>
      </c>
      <c r="J607" s="2">
        <f t="shared" si="10"/>
        <v>0</v>
      </c>
    </row>
    <row r="608" spans="1:10" x14ac:dyDescent="0.3">
      <c r="A608" s="2"/>
      <c r="C608" s="1"/>
      <c r="D608" s="1"/>
      <c r="E608" t="e">
        <f>+VLOOKUP(tbl_registro[[#This Row],[Patente]],Pivot_Equipos!$A$1:$E$39,3,FALSE)</f>
        <v>#N/A</v>
      </c>
      <c r="F608" s="2" t="e">
        <f>+VLOOKUP(tbl_registro[[#This Row],[Tipo Equipo]],Pivot_Equipos!$C$1:$E$39,2,FALSE)</f>
        <v>#N/A</v>
      </c>
      <c r="J608" s="2">
        <f t="shared" si="10"/>
        <v>0</v>
      </c>
    </row>
    <row r="609" spans="1:10" x14ac:dyDescent="0.3">
      <c r="A609" s="2"/>
      <c r="C609" s="1"/>
      <c r="D609" s="1"/>
      <c r="E609" t="e">
        <f>+VLOOKUP(tbl_registro[[#This Row],[Patente]],Pivot_Equipos!$A$1:$E$39,3,FALSE)</f>
        <v>#N/A</v>
      </c>
      <c r="F609" s="2" t="e">
        <f>+VLOOKUP(tbl_registro[[#This Row],[Tipo Equipo]],Pivot_Equipos!$C$1:$E$39,2,FALSE)</f>
        <v>#N/A</v>
      </c>
      <c r="J609" s="2">
        <f t="shared" si="10"/>
        <v>0</v>
      </c>
    </row>
    <row r="610" spans="1:10" x14ac:dyDescent="0.3">
      <c r="A610" s="2"/>
      <c r="C610" s="1"/>
      <c r="D610" s="1"/>
      <c r="E610" t="e">
        <f>+VLOOKUP(tbl_registro[[#This Row],[Patente]],Pivot_Equipos!$A$1:$E$39,3,FALSE)</f>
        <v>#N/A</v>
      </c>
      <c r="F610" s="2" t="e">
        <f>+VLOOKUP(tbl_registro[[#This Row],[Tipo Equipo]],Pivot_Equipos!$C$1:$E$39,2,FALSE)</f>
        <v>#N/A</v>
      </c>
      <c r="J610" s="2">
        <f t="shared" si="10"/>
        <v>0</v>
      </c>
    </row>
    <row r="611" spans="1:10" x14ac:dyDescent="0.3">
      <c r="A611" s="2"/>
      <c r="C611" s="1"/>
      <c r="D611" s="1"/>
      <c r="E611" t="e">
        <f>+VLOOKUP(tbl_registro[[#This Row],[Patente]],Pivot_Equipos!$A$1:$E$39,3,FALSE)</f>
        <v>#N/A</v>
      </c>
      <c r="F611" s="2" t="e">
        <f>+VLOOKUP(tbl_registro[[#This Row],[Tipo Equipo]],Pivot_Equipos!$C$1:$E$39,2,FALSE)</f>
        <v>#N/A</v>
      </c>
      <c r="J611" s="2">
        <f t="shared" si="10"/>
        <v>0</v>
      </c>
    </row>
    <row r="612" spans="1:10" x14ac:dyDescent="0.3">
      <c r="A612" s="2"/>
      <c r="C612" s="1"/>
      <c r="D612" s="1"/>
      <c r="E612" t="e">
        <f>+VLOOKUP(tbl_registro[[#This Row],[Patente]],Pivot_Equipos!$A$1:$E$39,3,FALSE)</f>
        <v>#N/A</v>
      </c>
      <c r="F612" s="2" t="e">
        <f>+VLOOKUP(tbl_registro[[#This Row],[Tipo Equipo]],Pivot_Equipos!$C$1:$E$39,2,FALSE)</f>
        <v>#N/A</v>
      </c>
      <c r="J612" s="2">
        <f t="shared" si="10"/>
        <v>0</v>
      </c>
    </row>
    <row r="613" spans="1:10" x14ac:dyDescent="0.3">
      <c r="A613" s="2"/>
      <c r="C613" s="1"/>
      <c r="D613" s="1"/>
      <c r="E613" t="e">
        <f>+VLOOKUP(tbl_registro[[#This Row],[Patente]],Pivot_Equipos!$A$1:$E$39,3,FALSE)</f>
        <v>#N/A</v>
      </c>
      <c r="F613" s="2" t="e">
        <f>+VLOOKUP(tbl_registro[[#This Row],[Tipo Equipo]],Pivot_Equipos!$C$1:$E$39,2,FALSE)</f>
        <v>#N/A</v>
      </c>
      <c r="J613" s="2">
        <f t="shared" si="10"/>
        <v>0</v>
      </c>
    </row>
    <row r="614" spans="1:10" x14ac:dyDescent="0.3">
      <c r="A614" s="2"/>
      <c r="C614" s="1"/>
      <c r="D614" s="1"/>
      <c r="E614" t="e">
        <f>+VLOOKUP(tbl_registro[[#This Row],[Patente]],Pivot_Equipos!$A$1:$E$39,3,FALSE)</f>
        <v>#N/A</v>
      </c>
      <c r="F614" s="2" t="e">
        <f>+VLOOKUP(tbl_registro[[#This Row],[Tipo Equipo]],Pivot_Equipos!$C$1:$E$39,2,FALSE)</f>
        <v>#N/A</v>
      </c>
      <c r="J614" s="2">
        <f t="shared" si="10"/>
        <v>0</v>
      </c>
    </row>
    <row r="615" spans="1:10" x14ac:dyDescent="0.3">
      <c r="A615" s="2"/>
      <c r="C615" s="1"/>
      <c r="D615" s="1"/>
      <c r="E615" t="e">
        <f>+VLOOKUP(tbl_registro[[#This Row],[Patente]],Pivot_Equipos!$A$1:$E$39,3,FALSE)</f>
        <v>#N/A</v>
      </c>
      <c r="F615" s="2" t="e">
        <f>+VLOOKUP(tbl_registro[[#This Row],[Tipo Equipo]],Pivot_Equipos!$C$1:$E$39,2,FALSE)</f>
        <v>#N/A</v>
      </c>
      <c r="J615" s="2">
        <f t="shared" si="10"/>
        <v>0</v>
      </c>
    </row>
    <row r="616" spans="1:10" x14ac:dyDescent="0.3">
      <c r="A616" s="2"/>
      <c r="C616" s="1"/>
      <c r="D616" s="1"/>
      <c r="E616" t="e">
        <f>+VLOOKUP(tbl_registro[[#This Row],[Patente]],Pivot_Equipos!$A$1:$E$39,3,FALSE)</f>
        <v>#N/A</v>
      </c>
      <c r="F616" s="2" t="e">
        <f>+VLOOKUP(tbl_registro[[#This Row],[Tipo Equipo]],Pivot_Equipos!$C$1:$E$39,2,FALSE)</f>
        <v>#N/A</v>
      </c>
      <c r="J616" s="2">
        <f t="shared" si="10"/>
        <v>0</v>
      </c>
    </row>
    <row r="617" spans="1:10" x14ac:dyDescent="0.3">
      <c r="A617" s="2"/>
      <c r="C617" s="1"/>
      <c r="D617" s="1"/>
      <c r="E617" t="e">
        <f>+VLOOKUP(tbl_registro[[#This Row],[Patente]],Pivot_Equipos!$A$1:$E$39,3,FALSE)</f>
        <v>#N/A</v>
      </c>
      <c r="F617" s="2" t="e">
        <f>+VLOOKUP(tbl_registro[[#This Row],[Tipo Equipo]],Pivot_Equipos!$C$1:$E$39,2,FALSE)</f>
        <v>#N/A</v>
      </c>
      <c r="J617" s="2">
        <f t="shared" si="10"/>
        <v>0</v>
      </c>
    </row>
    <row r="618" spans="1:10" x14ac:dyDescent="0.3">
      <c r="A618" s="2"/>
      <c r="C618" s="1"/>
      <c r="D618" s="1"/>
      <c r="E618" t="e">
        <f>+VLOOKUP(tbl_registro[[#This Row],[Patente]],Pivot_Equipos!$A$1:$E$39,3,FALSE)</f>
        <v>#N/A</v>
      </c>
      <c r="F618" s="2" t="e">
        <f>+VLOOKUP(tbl_registro[[#This Row],[Tipo Equipo]],Pivot_Equipos!$C$1:$E$39,2,FALSE)</f>
        <v>#N/A</v>
      </c>
      <c r="J618" s="2">
        <f t="shared" si="10"/>
        <v>0</v>
      </c>
    </row>
    <row r="619" spans="1:10" x14ac:dyDescent="0.3">
      <c r="A619" s="2"/>
      <c r="C619" s="1"/>
      <c r="D619" s="1"/>
      <c r="E619" t="e">
        <f>+VLOOKUP(tbl_registro[[#This Row],[Patente]],Pivot_Equipos!$A$1:$E$39,3,FALSE)</f>
        <v>#N/A</v>
      </c>
      <c r="F619" s="2" t="e">
        <f>+VLOOKUP(tbl_registro[[#This Row],[Tipo Equipo]],Pivot_Equipos!$C$1:$E$39,2,FALSE)</f>
        <v>#N/A</v>
      </c>
      <c r="J619" s="2">
        <f t="shared" si="10"/>
        <v>0</v>
      </c>
    </row>
    <row r="620" spans="1:10" x14ac:dyDescent="0.3">
      <c r="A620" s="2"/>
      <c r="C620" s="1"/>
      <c r="D620" s="1"/>
      <c r="E620" t="e">
        <f>+VLOOKUP(tbl_registro[[#This Row],[Patente]],Pivot_Equipos!$A$1:$E$39,3,FALSE)</f>
        <v>#N/A</v>
      </c>
      <c r="F620" s="2" t="e">
        <f>+VLOOKUP(tbl_registro[[#This Row],[Tipo Equipo]],Pivot_Equipos!$C$1:$E$39,2,FALSE)</f>
        <v>#N/A</v>
      </c>
      <c r="J620" s="2">
        <f t="shared" si="10"/>
        <v>0</v>
      </c>
    </row>
    <row r="621" spans="1:10" x14ac:dyDescent="0.3">
      <c r="A621" s="2"/>
      <c r="C621" s="1"/>
      <c r="D621" s="1"/>
      <c r="E621" t="e">
        <f>+VLOOKUP(tbl_registro[[#This Row],[Patente]],Pivot_Equipos!$A$1:$E$39,3,FALSE)</f>
        <v>#N/A</v>
      </c>
      <c r="F621" s="2" t="e">
        <f>+VLOOKUP(tbl_registro[[#This Row],[Tipo Equipo]],Pivot_Equipos!$C$1:$E$39,2,FALSE)</f>
        <v>#N/A</v>
      </c>
      <c r="J621" s="2">
        <f t="shared" si="10"/>
        <v>0</v>
      </c>
    </row>
    <row r="622" spans="1:10" x14ac:dyDescent="0.3">
      <c r="A622" s="2"/>
      <c r="C622" s="1"/>
      <c r="D622" s="1"/>
      <c r="E622" t="e">
        <f>+VLOOKUP(tbl_registro[[#This Row],[Patente]],Pivot_Equipos!$A$1:$E$39,3,FALSE)</f>
        <v>#N/A</v>
      </c>
      <c r="F622" s="2" t="e">
        <f>+VLOOKUP(tbl_registro[[#This Row],[Tipo Equipo]],Pivot_Equipos!$C$1:$E$39,2,FALSE)</f>
        <v>#N/A</v>
      </c>
      <c r="J622" s="2">
        <f t="shared" si="10"/>
        <v>0</v>
      </c>
    </row>
    <row r="623" spans="1:10" x14ac:dyDescent="0.3">
      <c r="A623" s="2"/>
      <c r="C623" s="1"/>
      <c r="D623" s="1"/>
      <c r="E623" t="e">
        <f>+VLOOKUP(tbl_registro[[#This Row],[Patente]],Pivot_Equipos!$A$1:$E$39,3,FALSE)</f>
        <v>#N/A</v>
      </c>
      <c r="F623" s="2" t="e">
        <f>+VLOOKUP(tbl_registro[[#This Row],[Tipo Equipo]],Pivot_Equipos!$C$1:$E$39,2,FALSE)</f>
        <v>#N/A</v>
      </c>
      <c r="J623" s="2">
        <f t="shared" si="10"/>
        <v>0</v>
      </c>
    </row>
    <row r="624" spans="1:10" x14ac:dyDescent="0.3">
      <c r="A624" s="2"/>
      <c r="C624" s="1"/>
      <c r="D624" s="1"/>
      <c r="E624" t="e">
        <f>+VLOOKUP(tbl_registro[[#This Row],[Patente]],Pivot_Equipos!$A$1:$E$39,3,FALSE)</f>
        <v>#N/A</v>
      </c>
      <c r="F624" s="2" t="e">
        <f>+VLOOKUP(tbl_registro[[#This Row],[Tipo Equipo]],Pivot_Equipos!$C$1:$E$39,2,FALSE)</f>
        <v>#N/A</v>
      </c>
      <c r="J624" s="2">
        <f t="shared" si="10"/>
        <v>0</v>
      </c>
    </row>
    <row r="625" spans="1:10" x14ac:dyDescent="0.3">
      <c r="A625" s="2"/>
      <c r="C625" s="1"/>
      <c r="D625" s="1"/>
      <c r="E625" t="e">
        <f>+VLOOKUP(tbl_registro[[#This Row],[Patente]],Pivot_Equipos!$A$1:$E$39,3,FALSE)</f>
        <v>#N/A</v>
      </c>
      <c r="F625" s="2" t="e">
        <f>+VLOOKUP(tbl_registro[[#This Row],[Tipo Equipo]],Pivot_Equipos!$C$1:$E$39,2,FALSE)</f>
        <v>#N/A</v>
      </c>
      <c r="J625" s="2">
        <f t="shared" si="10"/>
        <v>0</v>
      </c>
    </row>
    <row r="626" spans="1:10" x14ac:dyDescent="0.3">
      <c r="A626" s="2"/>
      <c r="C626" s="1"/>
      <c r="D626" s="1"/>
      <c r="E626" t="e">
        <f>+VLOOKUP(tbl_registro[[#This Row],[Patente]],Pivot_Equipos!$A$1:$E$39,3,FALSE)</f>
        <v>#N/A</v>
      </c>
      <c r="F626" s="2" t="e">
        <f>+VLOOKUP(tbl_registro[[#This Row],[Tipo Equipo]],Pivot_Equipos!$C$1:$E$39,2,FALSE)</f>
        <v>#N/A</v>
      </c>
      <c r="J626" s="2">
        <f t="shared" si="10"/>
        <v>0</v>
      </c>
    </row>
    <row r="627" spans="1:10" x14ac:dyDescent="0.3">
      <c r="A627" s="2"/>
      <c r="C627" s="1"/>
      <c r="D627" s="1"/>
      <c r="E627" t="e">
        <f>+VLOOKUP(tbl_registro[[#This Row],[Patente]],Pivot_Equipos!$A$1:$E$39,3,FALSE)</f>
        <v>#N/A</v>
      </c>
      <c r="F627" s="2" t="e">
        <f>+VLOOKUP(tbl_registro[[#This Row],[Tipo Equipo]],Pivot_Equipos!$C$1:$E$39,2,FALSE)</f>
        <v>#N/A</v>
      </c>
      <c r="J627" s="2">
        <f t="shared" si="10"/>
        <v>0</v>
      </c>
    </row>
    <row r="628" spans="1:10" x14ac:dyDescent="0.3">
      <c r="A628" s="2"/>
      <c r="C628" s="1"/>
      <c r="D628" s="1"/>
      <c r="E628" t="e">
        <f>+VLOOKUP(tbl_registro[[#This Row],[Patente]],Pivot_Equipos!$A$1:$E$39,3,FALSE)</f>
        <v>#N/A</v>
      </c>
      <c r="F628" s="2" t="e">
        <f>+VLOOKUP(tbl_registro[[#This Row],[Tipo Equipo]],Pivot_Equipos!$C$1:$E$39,2,FALSE)</f>
        <v>#N/A</v>
      </c>
      <c r="J628" s="2">
        <f t="shared" si="10"/>
        <v>0</v>
      </c>
    </row>
    <row r="629" spans="1:10" x14ac:dyDescent="0.3">
      <c r="A629" s="2"/>
      <c r="C629" s="1"/>
      <c r="D629" s="1"/>
      <c r="E629" t="e">
        <f>+VLOOKUP(tbl_registro[[#This Row],[Patente]],Pivot_Equipos!$A$1:$E$39,3,FALSE)</f>
        <v>#N/A</v>
      </c>
      <c r="F629" s="2" t="e">
        <f>+VLOOKUP(tbl_registro[[#This Row],[Tipo Equipo]],Pivot_Equipos!$C$1:$E$39,2,FALSE)</f>
        <v>#N/A</v>
      </c>
      <c r="J629" s="2">
        <f t="shared" si="10"/>
        <v>0</v>
      </c>
    </row>
    <row r="630" spans="1:10" x14ac:dyDescent="0.3">
      <c r="A630" s="2"/>
      <c r="C630" s="1"/>
      <c r="D630" s="1"/>
      <c r="E630" t="e">
        <f>+VLOOKUP(tbl_registro[[#This Row],[Patente]],Pivot_Equipos!$A$1:$E$39,3,FALSE)</f>
        <v>#N/A</v>
      </c>
      <c r="F630" s="2" t="e">
        <f>+VLOOKUP(tbl_registro[[#This Row],[Tipo Equipo]],Pivot_Equipos!$C$1:$E$39,2,FALSE)</f>
        <v>#N/A</v>
      </c>
      <c r="J630" s="2">
        <f t="shared" si="10"/>
        <v>0</v>
      </c>
    </row>
    <row r="631" spans="1:10" x14ac:dyDescent="0.3">
      <c r="A631" s="2"/>
      <c r="C631" s="1"/>
      <c r="D631" s="1"/>
      <c r="E631" t="e">
        <f>+VLOOKUP(tbl_registro[[#This Row],[Patente]],Pivot_Equipos!$A$1:$E$39,3,FALSE)</f>
        <v>#N/A</v>
      </c>
      <c r="F631" s="2" t="e">
        <f>+VLOOKUP(tbl_registro[[#This Row],[Tipo Equipo]],Pivot_Equipos!$C$1:$E$39,2,FALSE)</f>
        <v>#N/A</v>
      </c>
      <c r="J631" s="2">
        <f t="shared" si="10"/>
        <v>0</v>
      </c>
    </row>
    <row r="632" spans="1:10" x14ac:dyDescent="0.3">
      <c r="A632" s="2"/>
      <c r="C632" s="1"/>
      <c r="D632" s="1"/>
      <c r="E632" t="e">
        <f>+VLOOKUP(tbl_registro[[#This Row],[Patente]],Pivot_Equipos!$A$1:$E$39,3,FALSE)</f>
        <v>#N/A</v>
      </c>
      <c r="F632" s="2" t="e">
        <f>+VLOOKUP(tbl_registro[[#This Row],[Tipo Equipo]],Pivot_Equipos!$C$1:$E$39,2,FALSE)</f>
        <v>#N/A</v>
      </c>
      <c r="J632" s="2">
        <f t="shared" si="10"/>
        <v>0</v>
      </c>
    </row>
    <row r="633" spans="1:10" x14ac:dyDescent="0.3">
      <c r="A633" s="2"/>
      <c r="C633" s="1"/>
      <c r="D633" s="1"/>
      <c r="E633" t="e">
        <f>+VLOOKUP(tbl_registro[[#This Row],[Patente]],Pivot_Equipos!$A$1:$E$39,3,FALSE)</f>
        <v>#N/A</v>
      </c>
      <c r="F633" s="2" t="e">
        <f>+VLOOKUP(tbl_registro[[#This Row],[Tipo Equipo]],Pivot_Equipos!$C$1:$E$39,2,FALSE)</f>
        <v>#N/A</v>
      </c>
      <c r="J633" s="2">
        <f t="shared" si="10"/>
        <v>0</v>
      </c>
    </row>
    <row r="634" spans="1:10" x14ac:dyDescent="0.3">
      <c r="A634" s="2"/>
      <c r="C634" s="1"/>
      <c r="D634" s="1"/>
      <c r="E634" t="e">
        <f>+VLOOKUP(tbl_registro[[#This Row],[Patente]],Pivot_Equipos!$A$1:$E$39,3,FALSE)</f>
        <v>#N/A</v>
      </c>
      <c r="F634" s="2" t="e">
        <f>+VLOOKUP(tbl_registro[[#This Row],[Tipo Equipo]],Pivot_Equipos!$C$1:$E$39,2,FALSE)</f>
        <v>#N/A</v>
      </c>
      <c r="J634" s="2">
        <f t="shared" si="10"/>
        <v>0</v>
      </c>
    </row>
    <row r="635" spans="1:10" x14ac:dyDescent="0.3">
      <c r="A635" s="2"/>
      <c r="C635" s="1"/>
      <c r="D635" s="1"/>
      <c r="E635" t="e">
        <f>+VLOOKUP(tbl_registro[[#This Row],[Patente]],Pivot_Equipos!$A$1:$E$39,3,FALSE)</f>
        <v>#N/A</v>
      </c>
      <c r="F635" s="2" t="e">
        <f>+VLOOKUP(tbl_registro[[#This Row],[Tipo Equipo]],Pivot_Equipos!$C$1:$E$39,2,FALSE)</f>
        <v>#N/A</v>
      </c>
      <c r="J635" s="2">
        <f t="shared" si="10"/>
        <v>0</v>
      </c>
    </row>
    <row r="636" spans="1:10" x14ac:dyDescent="0.3">
      <c r="A636" s="2"/>
      <c r="C636" s="1"/>
      <c r="D636" s="1"/>
      <c r="E636" t="e">
        <f>+VLOOKUP(tbl_registro[[#This Row],[Patente]],Pivot_Equipos!$A$1:$E$39,3,FALSE)</f>
        <v>#N/A</v>
      </c>
      <c r="F636" s="2" t="e">
        <f>+VLOOKUP(tbl_registro[[#This Row],[Tipo Equipo]],Pivot_Equipos!$C$1:$E$39,2,FALSE)</f>
        <v>#N/A</v>
      </c>
      <c r="J636" s="2">
        <f t="shared" si="10"/>
        <v>0</v>
      </c>
    </row>
    <row r="637" spans="1:10" x14ac:dyDescent="0.3">
      <c r="A637" s="2"/>
      <c r="C637" s="1"/>
      <c r="D637" s="1"/>
      <c r="E637" t="e">
        <f>+VLOOKUP(tbl_registro[[#This Row],[Patente]],Pivot_Equipos!$A$1:$E$39,3,FALSE)</f>
        <v>#N/A</v>
      </c>
      <c r="F637" s="2" t="e">
        <f>+VLOOKUP(tbl_registro[[#This Row],[Tipo Equipo]],Pivot_Equipos!$C$1:$E$39,2,FALSE)</f>
        <v>#N/A</v>
      </c>
      <c r="J637" s="2">
        <f t="shared" si="10"/>
        <v>0</v>
      </c>
    </row>
    <row r="638" spans="1:10" x14ac:dyDescent="0.3">
      <c r="A638" s="2"/>
      <c r="C638" s="1"/>
      <c r="D638" s="1"/>
      <c r="E638" t="e">
        <f>+VLOOKUP(tbl_registro[[#This Row],[Patente]],Pivot_Equipos!$A$1:$E$39,3,FALSE)</f>
        <v>#N/A</v>
      </c>
      <c r="F638" s="2" t="e">
        <f>+VLOOKUP(tbl_registro[[#This Row],[Tipo Equipo]],Pivot_Equipos!$C$1:$E$39,2,FALSE)</f>
        <v>#N/A</v>
      </c>
      <c r="J638" s="2">
        <f t="shared" si="10"/>
        <v>0</v>
      </c>
    </row>
    <row r="639" spans="1:10" x14ac:dyDescent="0.3">
      <c r="A639" s="2"/>
      <c r="C639" s="1"/>
      <c r="D639" s="1"/>
      <c r="E639" t="e">
        <f>+VLOOKUP(tbl_registro[[#This Row],[Patente]],Pivot_Equipos!$A$1:$E$39,3,FALSE)</f>
        <v>#N/A</v>
      </c>
      <c r="F639" s="2" t="e">
        <f>+VLOOKUP(tbl_registro[[#This Row],[Tipo Equipo]],Pivot_Equipos!$C$1:$E$39,2,FALSE)</f>
        <v>#N/A</v>
      </c>
      <c r="J639" s="2">
        <f t="shared" si="10"/>
        <v>0</v>
      </c>
    </row>
    <row r="640" spans="1:10" x14ac:dyDescent="0.3">
      <c r="A640" s="2"/>
      <c r="C640" s="1"/>
      <c r="D640" s="1"/>
      <c r="E640" t="e">
        <f>+VLOOKUP(tbl_registro[[#This Row],[Patente]],Pivot_Equipos!$A$1:$E$39,3,FALSE)</f>
        <v>#N/A</v>
      </c>
      <c r="F640" s="2" t="e">
        <f>+VLOOKUP(tbl_registro[[#This Row],[Tipo Equipo]],Pivot_Equipos!$C$1:$E$39,2,FALSE)</f>
        <v>#N/A</v>
      </c>
      <c r="J640" s="2">
        <f t="shared" si="10"/>
        <v>0</v>
      </c>
    </row>
    <row r="641" spans="1:10" x14ac:dyDescent="0.3">
      <c r="A641" s="2"/>
      <c r="C641" s="1"/>
      <c r="D641" s="1"/>
      <c r="E641" t="e">
        <f>+VLOOKUP(tbl_registro[[#This Row],[Patente]],Pivot_Equipos!$A$1:$E$39,3,FALSE)</f>
        <v>#N/A</v>
      </c>
      <c r="F641" s="2" t="e">
        <f>+VLOOKUP(tbl_registro[[#This Row],[Tipo Equipo]],Pivot_Equipos!$C$1:$E$39,2,FALSE)</f>
        <v>#N/A</v>
      </c>
      <c r="J641" s="2">
        <f t="shared" si="10"/>
        <v>0</v>
      </c>
    </row>
    <row r="642" spans="1:10" x14ac:dyDescent="0.3">
      <c r="A642" s="2"/>
      <c r="C642" s="1"/>
      <c r="D642" s="1"/>
      <c r="E642" t="e">
        <f>+VLOOKUP(tbl_registro[[#This Row],[Patente]],Pivot_Equipos!$A$1:$E$39,3,FALSE)</f>
        <v>#N/A</v>
      </c>
      <c r="F642" s="2" t="e">
        <f>+VLOOKUP(tbl_registro[[#This Row],[Tipo Equipo]],Pivot_Equipos!$C$1:$E$39,2,FALSE)</f>
        <v>#N/A</v>
      </c>
      <c r="J642" s="2">
        <f t="shared" ref="J642:J705" si="11">I642-H642</f>
        <v>0</v>
      </c>
    </row>
    <row r="643" spans="1:10" x14ac:dyDescent="0.3">
      <c r="A643" s="2"/>
      <c r="C643" s="1"/>
      <c r="D643" s="1"/>
      <c r="E643" t="e">
        <f>+VLOOKUP(tbl_registro[[#This Row],[Patente]],Pivot_Equipos!$A$1:$E$39,3,FALSE)</f>
        <v>#N/A</v>
      </c>
      <c r="F643" s="2" t="e">
        <f>+VLOOKUP(tbl_registro[[#This Row],[Tipo Equipo]],Pivot_Equipos!$C$1:$E$39,2,FALSE)</f>
        <v>#N/A</v>
      </c>
      <c r="J643" s="2">
        <f t="shared" si="11"/>
        <v>0</v>
      </c>
    </row>
    <row r="644" spans="1:10" x14ac:dyDescent="0.3">
      <c r="A644" s="2"/>
      <c r="C644" s="1"/>
      <c r="D644" s="1"/>
      <c r="E644" t="e">
        <f>+VLOOKUP(tbl_registro[[#This Row],[Patente]],Pivot_Equipos!$A$1:$E$39,3,FALSE)</f>
        <v>#N/A</v>
      </c>
      <c r="F644" s="2" t="e">
        <f>+VLOOKUP(tbl_registro[[#This Row],[Tipo Equipo]],Pivot_Equipos!$C$1:$E$39,2,FALSE)</f>
        <v>#N/A</v>
      </c>
      <c r="J644" s="2">
        <f t="shared" si="11"/>
        <v>0</v>
      </c>
    </row>
    <row r="645" spans="1:10" x14ac:dyDescent="0.3">
      <c r="A645" s="2"/>
      <c r="C645" s="1"/>
      <c r="D645" s="1"/>
      <c r="E645" t="e">
        <f>+VLOOKUP(tbl_registro[[#This Row],[Patente]],Pivot_Equipos!$A$1:$E$39,3,FALSE)</f>
        <v>#N/A</v>
      </c>
      <c r="F645" s="2" t="e">
        <f>+VLOOKUP(tbl_registro[[#This Row],[Tipo Equipo]],Pivot_Equipos!$C$1:$E$39,2,FALSE)</f>
        <v>#N/A</v>
      </c>
      <c r="J645" s="2">
        <f t="shared" si="11"/>
        <v>0</v>
      </c>
    </row>
    <row r="646" spans="1:10" x14ac:dyDescent="0.3">
      <c r="A646" s="2"/>
      <c r="C646" s="1"/>
      <c r="D646" s="1"/>
      <c r="E646" t="e">
        <f>+VLOOKUP(tbl_registro[[#This Row],[Patente]],Pivot_Equipos!$A$1:$E$39,3,FALSE)</f>
        <v>#N/A</v>
      </c>
      <c r="F646" s="2" t="e">
        <f>+VLOOKUP(tbl_registro[[#This Row],[Tipo Equipo]],Pivot_Equipos!$C$1:$E$39,2,FALSE)</f>
        <v>#N/A</v>
      </c>
      <c r="J646" s="2">
        <f t="shared" si="11"/>
        <v>0</v>
      </c>
    </row>
    <row r="647" spans="1:10" x14ac:dyDescent="0.3">
      <c r="A647" s="2"/>
      <c r="C647" s="1"/>
      <c r="D647" s="1"/>
      <c r="E647" t="e">
        <f>+VLOOKUP(tbl_registro[[#This Row],[Patente]],Pivot_Equipos!$A$1:$E$39,3,FALSE)</f>
        <v>#N/A</v>
      </c>
      <c r="F647" s="2" t="e">
        <f>+VLOOKUP(tbl_registro[[#This Row],[Tipo Equipo]],Pivot_Equipos!$C$1:$E$39,2,FALSE)</f>
        <v>#N/A</v>
      </c>
      <c r="J647" s="2">
        <f t="shared" si="11"/>
        <v>0</v>
      </c>
    </row>
    <row r="648" spans="1:10" x14ac:dyDescent="0.3">
      <c r="A648" s="2"/>
      <c r="C648" s="1"/>
      <c r="D648" s="1"/>
      <c r="E648" t="e">
        <f>+VLOOKUP(tbl_registro[[#This Row],[Patente]],Pivot_Equipos!$A$1:$E$39,3,FALSE)</f>
        <v>#N/A</v>
      </c>
      <c r="F648" s="2" t="e">
        <f>+VLOOKUP(tbl_registro[[#This Row],[Tipo Equipo]],Pivot_Equipos!$C$1:$E$39,2,FALSE)</f>
        <v>#N/A</v>
      </c>
      <c r="J648" s="2">
        <f t="shared" si="11"/>
        <v>0</v>
      </c>
    </row>
    <row r="649" spans="1:10" x14ac:dyDescent="0.3">
      <c r="A649" s="2"/>
      <c r="C649" s="1"/>
      <c r="D649" s="1"/>
      <c r="E649" t="e">
        <f>+VLOOKUP(tbl_registro[[#This Row],[Patente]],Pivot_Equipos!$A$1:$E$39,3,FALSE)</f>
        <v>#N/A</v>
      </c>
      <c r="F649" s="2" t="e">
        <f>+VLOOKUP(tbl_registro[[#This Row],[Tipo Equipo]],Pivot_Equipos!$C$1:$E$39,2,FALSE)</f>
        <v>#N/A</v>
      </c>
      <c r="J649" s="2">
        <f t="shared" si="11"/>
        <v>0</v>
      </c>
    </row>
    <row r="650" spans="1:10" x14ac:dyDescent="0.3">
      <c r="A650" s="2"/>
      <c r="C650" s="1"/>
      <c r="D650" s="1"/>
      <c r="E650" t="e">
        <f>+VLOOKUP(tbl_registro[[#This Row],[Patente]],Pivot_Equipos!$A$1:$E$39,3,FALSE)</f>
        <v>#N/A</v>
      </c>
      <c r="F650" s="2" t="e">
        <f>+VLOOKUP(tbl_registro[[#This Row],[Tipo Equipo]],Pivot_Equipos!$C$1:$E$39,2,FALSE)</f>
        <v>#N/A</v>
      </c>
      <c r="J650" s="2">
        <f t="shared" si="11"/>
        <v>0</v>
      </c>
    </row>
    <row r="651" spans="1:10" x14ac:dyDescent="0.3">
      <c r="A651" s="2"/>
      <c r="C651" s="1"/>
      <c r="D651" s="1"/>
      <c r="E651" t="e">
        <f>+VLOOKUP(tbl_registro[[#This Row],[Patente]],Pivot_Equipos!$A$1:$E$39,3,FALSE)</f>
        <v>#N/A</v>
      </c>
      <c r="F651" s="2" t="e">
        <f>+VLOOKUP(tbl_registro[[#This Row],[Tipo Equipo]],Pivot_Equipos!$C$1:$E$39,2,FALSE)</f>
        <v>#N/A</v>
      </c>
      <c r="J651" s="2">
        <f t="shared" si="11"/>
        <v>0</v>
      </c>
    </row>
    <row r="652" spans="1:10" x14ac:dyDescent="0.3">
      <c r="A652" s="2"/>
      <c r="C652" s="1"/>
      <c r="D652" s="1"/>
      <c r="E652" t="e">
        <f>+VLOOKUP(tbl_registro[[#This Row],[Patente]],Pivot_Equipos!$A$1:$E$39,3,FALSE)</f>
        <v>#N/A</v>
      </c>
      <c r="F652" s="2" t="e">
        <f>+VLOOKUP(tbl_registro[[#This Row],[Tipo Equipo]],Pivot_Equipos!$C$1:$E$39,2,FALSE)</f>
        <v>#N/A</v>
      </c>
      <c r="J652" s="2">
        <f t="shared" si="11"/>
        <v>0</v>
      </c>
    </row>
    <row r="653" spans="1:10" x14ac:dyDescent="0.3">
      <c r="A653" s="2"/>
      <c r="C653" s="1"/>
      <c r="D653" s="1"/>
      <c r="E653" t="e">
        <f>+VLOOKUP(tbl_registro[[#This Row],[Patente]],Pivot_Equipos!$A$1:$E$39,3,FALSE)</f>
        <v>#N/A</v>
      </c>
      <c r="F653" s="2" t="e">
        <f>+VLOOKUP(tbl_registro[[#This Row],[Tipo Equipo]],Pivot_Equipos!$C$1:$E$39,2,FALSE)</f>
        <v>#N/A</v>
      </c>
      <c r="J653" s="2">
        <f t="shared" si="11"/>
        <v>0</v>
      </c>
    </row>
    <row r="654" spans="1:10" x14ac:dyDescent="0.3">
      <c r="A654" s="2"/>
      <c r="C654" s="1"/>
      <c r="D654" s="1"/>
      <c r="E654" t="e">
        <f>+VLOOKUP(tbl_registro[[#This Row],[Patente]],Pivot_Equipos!$A$1:$E$39,3,FALSE)</f>
        <v>#N/A</v>
      </c>
      <c r="F654" s="2" t="e">
        <f>+VLOOKUP(tbl_registro[[#This Row],[Tipo Equipo]],Pivot_Equipos!$C$1:$E$39,2,FALSE)</f>
        <v>#N/A</v>
      </c>
      <c r="J654" s="2">
        <f t="shared" si="11"/>
        <v>0</v>
      </c>
    </row>
    <row r="655" spans="1:10" x14ac:dyDescent="0.3">
      <c r="A655" s="2"/>
      <c r="C655" s="1"/>
      <c r="D655" s="1"/>
      <c r="E655" t="e">
        <f>+VLOOKUP(tbl_registro[[#This Row],[Patente]],Pivot_Equipos!$A$1:$E$39,3,FALSE)</f>
        <v>#N/A</v>
      </c>
      <c r="F655" s="2" t="e">
        <f>+VLOOKUP(tbl_registro[[#This Row],[Tipo Equipo]],Pivot_Equipos!$C$1:$E$39,2,FALSE)</f>
        <v>#N/A</v>
      </c>
      <c r="J655" s="2">
        <f t="shared" si="11"/>
        <v>0</v>
      </c>
    </row>
    <row r="656" spans="1:10" x14ac:dyDescent="0.3">
      <c r="A656" s="2"/>
      <c r="C656" s="1"/>
      <c r="D656" s="1"/>
      <c r="E656" t="e">
        <f>+VLOOKUP(tbl_registro[[#This Row],[Patente]],Pivot_Equipos!$A$1:$E$39,3,FALSE)</f>
        <v>#N/A</v>
      </c>
      <c r="F656" s="2" t="e">
        <f>+VLOOKUP(tbl_registro[[#This Row],[Tipo Equipo]],Pivot_Equipos!$C$1:$E$39,2,FALSE)</f>
        <v>#N/A</v>
      </c>
      <c r="J656" s="2">
        <f t="shared" si="11"/>
        <v>0</v>
      </c>
    </row>
    <row r="657" spans="1:10" x14ac:dyDescent="0.3">
      <c r="A657" s="2"/>
      <c r="C657" s="1"/>
      <c r="D657" s="1"/>
      <c r="E657" t="e">
        <f>+VLOOKUP(tbl_registro[[#This Row],[Patente]],Pivot_Equipos!$A$1:$E$39,3,FALSE)</f>
        <v>#N/A</v>
      </c>
      <c r="F657" s="2" t="e">
        <f>+VLOOKUP(tbl_registro[[#This Row],[Tipo Equipo]],Pivot_Equipos!$C$1:$E$39,2,FALSE)</f>
        <v>#N/A</v>
      </c>
      <c r="J657" s="2">
        <f t="shared" si="11"/>
        <v>0</v>
      </c>
    </row>
    <row r="658" spans="1:10" x14ac:dyDescent="0.3">
      <c r="A658" s="2"/>
      <c r="C658" s="1"/>
      <c r="D658" s="1"/>
      <c r="E658" t="e">
        <f>+VLOOKUP(tbl_registro[[#This Row],[Patente]],Pivot_Equipos!$A$1:$E$39,3,FALSE)</f>
        <v>#N/A</v>
      </c>
      <c r="F658" s="2" t="e">
        <f>+VLOOKUP(tbl_registro[[#This Row],[Tipo Equipo]],Pivot_Equipos!$C$1:$E$39,2,FALSE)</f>
        <v>#N/A</v>
      </c>
      <c r="J658" s="2">
        <f t="shared" si="11"/>
        <v>0</v>
      </c>
    </row>
    <row r="659" spans="1:10" x14ac:dyDescent="0.3">
      <c r="A659" s="2"/>
      <c r="C659" s="1"/>
      <c r="D659" s="1"/>
      <c r="E659" t="e">
        <f>+VLOOKUP(tbl_registro[[#This Row],[Patente]],Pivot_Equipos!$A$1:$E$39,3,FALSE)</f>
        <v>#N/A</v>
      </c>
      <c r="F659" s="2" t="e">
        <f>+VLOOKUP(tbl_registro[[#This Row],[Tipo Equipo]],Pivot_Equipos!$C$1:$E$39,2,FALSE)</f>
        <v>#N/A</v>
      </c>
      <c r="J659" s="2">
        <f t="shared" si="11"/>
        <v>0</v>
      </c>
    </row>
    <row r="660" spans="1:10" x14ac:dyDescent="0.3">
      <c r="A660" s="2"/>
      <c r="C660" s="1"/>
      <c r="D660" s="1"/>
      <c r="E660" t="e">
        <f>+VLOOKUP(tbl_registro[[#This Row],[Patente]],Pivot_Equipos!$A$1:$E$39,3,FALSE)</f>
        <v>#N/A</v>
      </c>
      <c r="F660" s="2" t="e">
        <f>+VLOOKUP(tbl_registro[[#This Row],[Tipo Equipo]],Pivot_Equipos!$C$1:$E$39,2,FALSE)</f>
        <v>#N/A</v>
      </c>
      <c r="J660" s="2">
        <f t="shared" si="11"/>
        <v>0</v>
      </c>
    </row>
    <row r="661" spans="1:10" x14ac:dyDescent="0.3">
      <c r="A661" s="2"/>
      <c r="C661" s="1"/>
      <c r="D661" s="1"/>
      <c r="E661" t="e">
        <f>+VLOOKUP(tbl_registro[[#This Row],[Patente]],Pivot_Equipos!$A$1:$E$39,3,FALSE)</f>
        <v>#N/A</v>
      </c>
      <c r="F661" s="2" t="e">
        <f>+VLOOKUP(tbl_registro[[#This Row],[Tipo Equipo]],Pivot_Equipos!$C$1:$E$39,2,FALSE)</f>
        <v>#N/A</v>
      </c>
      <c r="J661" s="2">
        <f t="shared" si="11"/>
        <v>0</v>
      </c>
    </row>
    <row r="662" spans="1:10" x14ac:dyDescent="0.3">
      <c r="A662" s="2"/>
      <c r="C662" s="1"/>
      <c r="D662" s="1"/>
      <c r="E662" t="e">
        <f>+VLOOKUP(tbl_registro[[#This Row],[Patente]],Pivot_Equipos!$A$1:$E$39,3,FALSE)</f>
        <v>#N/A</v>
      </c>
      <c r="F662" s="2" t="e">
        <f>+VLOOKUP(tbl_registro[[#This Row],[Tipo Equipo]],Pivot_Equipos!$C$1:$E$39,2,FALSE)</f>
        <v>#N/A</v>
      </c>
      <c r="J662" s="2">
        <f t="shared" si="11"/>
        <v>0</v>
      </c>
    </row>
    <row r="663" spans="1:10" x14ac:dyDescent="0.3">
      <c r="A663" s="2"/>
      <c r="C663" s="1"/>
      <c r="D663" s="1"/>
      <c r="E663" t="e">
        <f>+VLOOKUP(tbl_registro[[#This Row],[Patente]],Pivot_Equipos!$A$1:$E$39,3,FALSE)</f>
        <v>#N/A</v>
      </c>
      <c r="F663" s="2" t="e">
        <f>+VLOOKUP(tbl_registro[[#This Row],[Tipo Equipo]],Pivot_Equipos!$C$1:$E$39,2,FALSE)</f>
        <v>#N/A</v>
      </c>
      <c r="J663" s="2">
        <f t="shared" si="11"/>
        <v>0</v>
      </c>
    </row>
    <row r="664" spans="1:10" x14ac:dyDescent="0.3">
      <c r="A664" s="2"/>
      <c r="C664" s="1"/>
      <c r="D664" s="1"/>
      <c r="E664" t="e">
        <f>+VLOOKUP(tbl_registro[[#This Row],[Patente]],Pivot_Equipos!$A$1:$E$39,3,FALSE)</f>
        <v>#N/A</v>
      </c>
      <c r="F664" s="2" t="e">
        <f>+VLOOKUP(tbl_registro[[#This Row],[Tipo Equipo]],Pivot_Equipos!$C$1:$E$39,2,FALSE)</f>
        <v>#N/A</v>
      </c>
      <c r="J664" s="2">
        <f t="shared" si="11"/>
        <v>0</v>
      </c>
    </row>
    <row r="665" spans="1:10" x14ac:dyDescent="0.3">
      <c r="A665" s="2"/>
      <c r="C665" s="1"/>
      <c r="D665" s="1"/>
      <c r="E665" t="e">
        <f>+VLOOKUP(tbl_registro[[#This Row],[Patente]],Pivot_Equipos!$A$1:$E$39,3,FALSE)</f>
        <v>#N/A</v>
      </c>
      <c r="F665" s="2" t="e">
        <f>+VLOOKUP(tbl_registro[[#This Row],[Tipo Equipo]],Pivot_Equipos!$C$1:$E$39,2,FALSE)</f>
        <v>#N/A</v>
      </c>
      <c r="J665" s="2">
        <f t="shared" si="11"/>
        <v>0</v>
      </c>
    </row>
    <row r="666" spans="1:10" x14ac:dyDescent="0.3">
      <c r="A666" s="2"/>
      <c r="C666" s="1"/>
      <c r="D666" s="1"/>
      <c r="E666" t="e">
        <f>+VLOOKUP(tbl_registro[[#This Row],[Patente]],Pivot_Equipos!$A$1:$E$39,3,FALSE)</f>
        <v>#N/A</v>
      </c>
      <c r="F666" s="2" t="e">
        <f>+VLOOKUP(tbl_registro[[#This Row],[Tipo Equipo]],Pivot_Equipos!$C$1:$E$39,2,FALSE)</f>
        <v>#N/A</v>
      </c>
      <c r="J666" s="2">
        <f t="shared" si="11"/>
        <v>0</v>
      </c>
    </row>
    <row r="667" spans="1:10" x14ac:dyDescent="0.3">
      <c r="A667" s="2"/>
      <c r="C667" s="1"/>
      <c r="D667" s="1"/>
      <c r="E667" t="e">
        <f>+VLOOKUP(tbl_registro[[#This Row],[Patente]],Pivot_Equipos!$A$1:$E$39,3,FALSE)</f>
        <v>#N/A</v>
      </c>
      <c r="F667" s="2" t="e">
        <f>+VLOOKUP(tbl_registro[[#This Row],[Tipo Equipo]],Pivot_Equipos!$C$1:$E$39,2,FALSE)</f>
        <v>#N/A</v>
      </c>
      <c r="J667" s="2">
        <f t="shared" si="11"/>
        <v>0</v>
      </c>
    </row>
    <row r="668" spans="1:10" x14ac:dyDescent="0.3">
      <c r="A668" s="2"/>
      <c r="C668" s="1"/>
      <c r="D668" s="1"/>
      <c r="E668" t="e">
        <f>+VLOOKUP(tbl_registro[[#This Row],[Patente]],Pivot_Equipos!$A$1:$E$39,3,FALSE)</f>
        <v>#N/A</v>
      </c>
      <c r="F668" s="2" t="e">
        <f>+VLOOKUP(tbl_registro[[#This Row],[Tipo Equipo]],Pivot_Equipos!$C$1:$E$39,2,FALSE)</f>
        <v>#N/A</v>
      </c>
      <c r="J668" s="2">
        <f t="shared" si="11"/>
        <v>0</v>
      </c>
    </row>
    <row r="669" spans="1:10" x14ac:dyDescent="0.3">
      <c r="A669" s="2"/>
      <c r="C669" s="1"/>
      <c r="D669" s="1"/>
      <c r="E669" t="e">
        <f>+VLOOKUP(tbl_registro[[#This Row],[Patente]],Pivot_Equipos!$A$1:$E$39,3,FALSE)</f>
        <v>#N/A</v>
      </c>
      <c r="F669" s="2" t="e">
        <f>+VLOOKUP(tbl_registro[[#This Row],[Tipo Equipo]],Pivot_Equipos!$C$1:$E$39,2,FALSE)</f>
        <v>#N/A</v>
      </c>
      <c r="J669" s="2">
        <f t="shared" si="11"/>
        <v>0</v>
      </c>
    </row>
    <row r="670" spans="1:10" x14ac:dyDescent="0.3">
      <c r="A670" s="2"/>
      <c r="C670" s="1"/>
      <c r="D670" s="1"/>
      <c r="E670" t="e">
        <f>+VLOOKUP(tbl_registro[[#This Row],[Patente]],Pivot_Equipos!$A$1:$E$39,3,FALSE)</f>
        <v>#N/A</v>
      </c>
      <c r="F670" s="2" t="e">
        <f>+VLOOKUP(tbl_registro[[#This Row],[Tipo Equipo]],Pivot_Equipos!$C$1:$E$39,2,FALSE)</f>
        <v>#N/A</v>
      </c>
      <c r="J670" s="2">
        <f t="shared" si="11"/>
        <v>0</v>
      </c>
    </row>
    <row r="671" spans="1:10" x14ac:dyDescent="0.3">
      <c r="A671" s="2"/>
      <c r="C671" s="1"/>
      <c r="D671" s="1"/>
      <c r="E671" t="e">
        <f>+VLOOKUP(tbl_registro[[#This Row],[Patente]],Pivot_Equipos!$A$1:$E$39,3,FALSE)</f>
        <v>#N/A</v>
      </c>
      <c r="F671" s="2" t="e">
        <f>+VLOOKUP(tbl_registro[[#This Row],[Tipo Equipo]],Pivot_Equipos!$C$1:$E$39,2,FALSE)</f>
        <v>#N/A</v>
      </c>
      <c r="J671" s="2">
        <f t="shared" si="11"/>
        <v>0</v>
      </c>
    </row>
    <row r="672" spans="1:10" x14ac:dyDescent="0.3">
      <c r="A672" s="2"/>
      <c r="C672" s="1"/>
      <c r="D672" s="1"/>
      <c r="E672" t="e">
        <f>+VLOOKUP(tbl_registro[[#This Row],[Patente]],Pivot_Equipos!$A$1:$E$39,3,FALSE)</f>
        <v>#N/A</v>
      </c>
      <c r="F672" s="2" t="e">
        <f>+VLOOKUP(tbl_registro[[#This Row],[Tipo Equipo]],Pivot_Equipos!$C$1:$E$39,2,FALSE)</f>
        <v>#N/A</v>
      </c>
      <c r="J672" s="2">
        <f t="shared" si="11"/>
        <v>0</v>
      </c>
    </row>
    <row r="673" spans="1:10" x14ac:dyDescent="0.3">
      <c r="A673" s="2"/>
      <c r="C673" s="1"/>
      <c r="D673" s="1"/>
      <c r="E673" t="e">
        <f>+VLOOKUP(tbl_registro[[#This Row],[Patente]],Pivot_Equipos!$A$1:$E$39,3,FALSE)</f>
        <v>#N/A</v>
      </c>
      <c r="F673" s="2" t="e">
        <f>+VLOOKUP(tbl_registro[[#This Row],[Tipo Equipo]],Pivot_Equipos!$C$1:$E$39,2,FALSE)</f>
        <v>#N/A</v>
      </c>
      <c r="J673" s="2">
        <f t="shared" si="11"/>
        <v>0</v>
      </c>
    </row>
    <row r="674" spans="1:10" x14ac:dyDescent="0.3">
      <c r="A674" s="2"/>
      <c r="C674" s="1"/>
      <c r="D674" s="1"/>
      <c r="E674" t="e">
        <f>+VLOOKUP(tbl_registro[[#This Row],[Patente]],Pivot_Equipos!$A$1:$E$39,3,FALSE)</f>
        <v>#N/A</v>
      </c>
      <c r="F674" s="2" t="e">
        <f>+VLOOKUP(tbl_registro[[#This Row],[Tipo Equipo]],Pivot_Equipos!$C$1:$E$39,2,FALSE)</f>
        <v>#N/A</v>
      </c>
      <c r="J674" s="2">
        <f t="shared" si="11"/>
        <v>0</v>
      </c>
    </row>
    <row r="675" spans="1:10" x14ac:dyDescent="0.3">
      <c r="A675" s="2"/>
      <c r="C675" s="1"/>
      <c r="D675" s="1"/>
      <c r="E675" t="e">
        <f>+VLOOKUP(tbl_registro[[#This Row],[Patente]],Pivot_Equipos!$A$1:$E$39,3,FALSE)</f>
        <v>#N/A</v>
      </c>
      <c r="F675" s="2" t="e">
        <f>+VLOOKUP(tbl_registro[[#This Row],[Tipo Equipo]],Pivot_Equipos!$C$1:$E$39,2,FALSE)</f>
        <v>#N/A</v>
      </c>
      <c r="J675" s="2">
        <f t="shared" si="11"/>
        <v>0</v>
      </c>
    </row>
    <row r="676" spans="1:10" x14ac:dyDescent="0.3">
      <c r="A676" s="2"/>
      <c r="C676" s="1"/>
      <c r="D676" s="1"/>
      <c r="E676" t="e">
        <f>+VLOOKUP(tbl_registro[[#This Row],[Patente]],Pivot_Equipos!$A$1:$E$39,3,FALSE)</f>
        <v>#N/A</v>
      </c>
      <c r="F676" s="2" t="e">
        <f>+VLOOKUP(tbl_registro[[#This Row],[Tipo Equipo]],Pivot_Equipos!$C$1:$E$39,2,FALSE)</f>
        <v>#N/A</v>
      </c>
      <c r="J676" s="2">
        <f t="shared" si="11"/>
        <v>0</v>
      </c>
    </row>
    <row r="677" spans="1:10" x14ac:dyDescent="0.3">
      <c r="A677" s="2"/>
      <c r="C677" s="1"/>
      <c r="D677" s="1"/>
      <c r="E677" t="e">
        <f>+VLOOKUP(tbl_registro[[#This Row],[Patente]],Pivot_Equipos!$A$1:$E$39,3,FALSE)</f>
        <v>#N/A</v>
      </c>
      <c r="F677" s="2" t="e">
        <f>+VLOOKUP(tbl_registro[[#This Row],[Tipo Equipo]],Pivot_Equipos!$C$1:$E$39,2,FALSE)</f>
        <v>#N/A</v>
      </c>
      <c r="J677" s="2">
        <f t="shared" si="11"/>
        <v>0</v>
      </c>
    </row>
    <row r="678" spans="1:10" x14ac:dyDescent="0.3">
      <c r="A678" s="2"/>
      <c r="C678" s="1"/>
      <c r="D678" s="1"/>
      <c r="E678" t="e">
        <f>+VLOOKUP(tbl_registro[[#This Row],[Patente]],Pivot_Equipos!$A$1:$E$39,3,FALSE)</f>
        <v>#N/A</v>
      </c>
      <c r="F678" s="2" t="e">
        <f>+VLOOKUP(tbl_registro[[#This Row],[Tipo Equipo]],Pivot_Equipos!$C$1:$E$39,2,FALSE)</f>
        <v>#N/A</v>
      </c>
      <c r="J678" s="2">
        <f t="shared" si="11"/>
        <v>0</v>
      </c>
    </row>
    <row r="679" spans="1:10" x14ac:dyDescent="0.3">
      <c r="A679" s="2"/>
      <c r="C679" s="1"/>
      <c r="D679" s="1"/>
      <c r="E679" t="e">
        <f>+VLOOKUP(tbl_registro[[#This Row],[Patente]],Pivot_Equipos!$A$1:$E$39,3,FALSE)</f>
        <v>#N/A</v>
      </c>
      <c r="F679" s="2" t="e">
        <f>+VLOOKUP(tbl_registro[[#This Row],[Tipo Equipo]],Pivot_Equipos!$C$1:$E$39,2,FALSE)</f>
        <v>#N/A</v>
      </c>
      <c r="J679" s="2">
        <f t="shared" si="11"/>
        <v>0</v>
      </c>
    </row>
    <row r="680" spans="1:10" x14ac:dyDescent="0.3">
      <c r="A680" s="2"/>
      <c r="C680" s="1"/>
      <c r="D680" s="1"/>
      <c r="E680" t="e">
        <f>+VLOOKUP(tbl_registro[[#This Row],[Patente]],Pivot_Equipos!$A$1:$E$39,3,FALSE)</f>
        <v>#N/A</v>
      </c>
      <c r="F680" s="2" t="e">
        <f>+VLOOKUP(tbl_registro[[#This Row],[Tipo Equipo]],Pivot_Equipos!$C$1:$E$39,2,FALSE)</f>
        <v>#N/A</v>
      </c>
      <c r="J680" s="2">
        <f t="shared" si="11"/>
        <v>0</v>
      </c>
    </row>
    <row r="681" spans="1:10" x14ac:dyDescent="0.3">
      <c r="A681" s="2"/>
      <c r="C681" s="1"/>
      <c r="D681" s="1"/>
      <c r="E681" t="e">
        <f>+VLOOKUP(tbl_registro[[#This Row],[Patente]],Pivot_Equipos!$A$1:$E$39,3,FALSE)</f>
        <v>#N/A</v>
      </c>
      <c r="F681" s="2" t="e">
        <f>+VLOOKUP(tbl_registro[[#This Row],[Tipo Equipo]],Pivot_Equipos!$C$1:$E$39,2,FALSE)</f>
        <v>#N/A</v>
      </c>
      <c r="J681" s="2">
        <f t="shared" si="11"/>
        <v>0</v>
      </c>
    </row>
    <row r="682" spans="1:10" x14ac:dyDescent="0.3">
      <c r="A682" s="2"/>
      <c r="C682" s="1"/>
      <c r="D682" s="1"/>
      <c r="E682" t="e">
        <f>+VLOOKUP(tbl_registro[[#This Row],[Patente]],Pivot_Equipos!$A$1:$E$39,3,FALSE)</f>
        <v>#N/A</v>
      </c>
      <c r="F682" s="2" t="e">
        <f>+VLOOKUP(tbl_registro[[#This Row],[Tipo Equipo]],Pivot_Equipos!$C$1:$E$39,2,FALSE)</f>
        <v>#N/A</v>
      </c>
      <c r="J682" s="2">
        <f t="shared" si="11"/>
        <v>0</v>
      </c>
    </row>
    <row r="683" spans="1:10" x14ac:dyDescent="0.3">
      <c r="A683" s="2"/>
      <c r="C683" s="1"/>
      <c r="D683" s="1"/>
      <c r="E683" t="e">
        <f>+VLOOKUP(tbl_registro[[#This Row],[Patente]],Pivot_Equipos!$A$1:$E$39,3,FALSE)</f>
        <v>#N/A</v>
      </c>
      <c r="F683" s="2" t="e">
        <f>+VLOOKUP(tbl_registro[[#This Row],[Tipo Equipo]],Pivot_Equipos!$C$1:$E$39,2,FALSE)</f>
        <v>#N/A</v>
      </c>
      <c r="J683" s="2">
        <f t="shared" si="11"/>
        <v>0</v>
      </c>
    </row>
    <row r="684" spans="1:10" x14ac:dyDescent="0.3">
      <c r="A684" s="2"/>
      <c r="C684" s="1"/>
      <c r="D684" s="1"/>
      <c r="E684" t="e">
        <f>+VLOOKUP(tbl_registro[[#This Row],[Patente]],Pivot_Equipos!$A$1:$E$39,3,FALSE)</f>
        <v>#N/A</v>
      </c>
      <c r="F684" s="2" t="e">
        <f>+VLOOKUP(tbl_registro[[#This Row],[Tipo Equipo]],Pivot_Equipos!$C$1:$E$39,2,FALSE)</f>
        <v>#N/A</v>
      </c>
      <c r="J684" s="2">
        <f t="shared" si="11"/>
        <v>0</v>
      </c>
    </row>
    <row r="685" spans="1:10" x14ac:dyDescent="0.3">
      <c r="A685" s="2"/>
      <c r="C685" s="1"/>
      <c r="D685" s="1"/>
      <c r="E685" t="e">
        <f>+VLOOKUP(tbl_registro[[#This Row],[Patente]],Pivot_Equipos!$A$1:$E$39,3,FALSE)</f>
        <v>#N/A</v>
      </c>
      <c r="F685" s="2" t="e">
        <f>+VLOOKUP(tbl_registro[[#This Row],[Tipo Equipo]],Pivot_Equipos!$C$1:$E$39,2,FALSE)</f>
        <v>#N/A</v>
      </c>
      <c r="J685" s="2">
        <f t="shared" si="11"/>
        <v>0</v>
      </c>
    </row>
    <row r="686" spans="1:10" x14ac:dyDescent="0.3">
      <c r="A686" s="2"/>
      <c r="C686" s="1"/>
      <c r="D686" s="1"/>
      <c r="E686" t="e">
        <f>+VLOOKUP(tbl_registro[[#This Row],[Patente]],Pivot_Equipos!$A$1:$E$39,3,FALSE)</f>
        <v>#N/A</v>
      </c>
      <c r="F686" s="2" t="e">
        <f>+VLOOKUP(tbl_registro[[#This Row],[Tipo Equipo]],Pivot_Equipos!$C$1:$E$39,2,FALSE)</f>
        <v>#N/A</v>
      </c>
      <c r="J686" s="2">
        <f t="shared" si="11"/>
        <v>0</v>
      </c>
    </row>
    <row r="687" spans="1:10" x14ac:dyDescent="0.3">
      <c r="A687" s="2"/>
      <c r="C687" s="1"/>
      <c r="D687" s="1"/>
      <c r="E687" t="e">
        <f>+VLOOKUP(tbl_registro[[#This Row],[Patente]],Pivot_Equipos!$A$1:$E$39,3,FALSE)</f>
        <v>#N/A</v>
      </c>
      <c r="F687" s="2" t="e">
        <f>+VLOOKUP(tbl_registro[[#This Row],[Tipo Equipo]],Pivot_Equipos!$C$1:$E$39,2,FALSE)</f>
        <v>#N/A</v>
      </c>
      <c r="J687" s="2">
        <f t="shared" si="11"/>
        <v>0</v>
      </c>
    </row>
    <row r="688" spans="1:10" x14ac:dyDescent="0.3">
      <c r="A688" s="2"/>
      <c r="C688" s="1"/>
      <c r="D688" s="1"/>
      <c r="E688" t="e">
        <f>+VLOOKUP(tbl_registro[[#This Row],[Patente]],Pivot_Equipos!$A$1:$E$39,3,FALSE)</f>
        <v>#N/A</v>
      </c>
      <c r="F688" s="2" t="e">
        <f>+VLOOKUP(tbl_registro[[#This Row],[Tipo Equipo]],Pivot_Equipos!$C$1:$E$39,2,FALSE)</f>
        <v>#N/A</v>
      </c>
      <c r="J688" s="2">
        <f t="shared" si="11"/>
        <v>0</v>
      </c>
    </row>
    <row r="689" spans="1:10" x14ac:dyDescent="0.3">
      <c r="A689" s="2"/>
      <c r="C689" s="1"/>
      <c r="D689" s="1"/>
      <c r="E689" t="e">
        <f>+VLOOKUP(tbl_registro[[#This Row],[Patente]],Pivot_Equipos!$A$1:$E$39,3,FALSE)</f>
        <v>#N/A</v>
      </c>
      <c r="F689" s="2" t="e">
        <f>+VLOOKUP(tbl_registro[[#This Row],[Tipo Equipo]],Pivot_Equipos!$C$1:$E$39,2,FALSE)</f>
        <v>#N/A</v>
      </c>
      <c r="J689" s="2">
        <f t="shared" si="11"/>
        <v>0</v>
      </c>
    </row>
    <row r="690" spans="1:10" x14ac:dyDescent="0.3">
      <c r="A690" s="2"/>
      <c r="C690" s="1"/>
      <c r="D690" s="1"/>
      <c r="E690" t="e">
        <f>+VLOOKUP(tbl_registro[[#This Row],[Patente]],Pivot_Equipos!$A$1:$E$39,3,FALSE)</f>
        <v>#N/A</v>
      </c>
      <c r="F690" s="2" t="e">
        <f>+VLOOKUP(tbl_registro[[#This Row],[Tipo Equipo]],Pivot_Equipos!$C$1:$E$39,2,FALSE)</f>
        <v>#N/A</v>
      </c>
      <c r="J690" s="2">
        <f t="shared" si="11"/>
        <v>0</v>
      </c>
    </row>
    <row r="691" spans="1:10" x14ac:dyDescent="0.3">
      <c r="A691" s="2"/>
      <c r="C691" s="1"/>
      <c r="D691" s="1"/>
      <c r="E691" t="e">
        <f>+VLOOKUP(tbl_registro[[#This Row],[Patente]],Pivot_Equipos!$A$1:$E$39,3,FALSE)</f>
        <v>#N/A</v>
      </c>
      <c r="F691" s="2" t="e">
        <f>+VLOOKUP(tbl_registro[[#This Row],[Tipo Equipo]],Pivot_Equipos!$C$1:$E$39,2,FALSE)</f>
        <v>#N/A</v>
      </c>
      <c r="J691" s="2">
        <f t="shared" si="11"/>
        <v>0</v>
      </c>
    </row>
    <row r="692" spans="1:10" x14ac:dyDescent="0.3">
      <c r="A692" s="2"/>
      <c r="C692" s="1"/>
      <c r="D692" s="1"/>
      <c r="E692" t="e">
        <f>+VLOOKUP(tbl_registro[[#This Row],[Patente]],Pivot_Equipos!$A$1:$E$39,3,FALSE)</f>
        <v>#N/A</v>
      </c>
      <c r="F692" s="2" t="e">
        <f>+VLOOKUP(tbl_registro[[#This Row],[Tipo Equipo]],Pivot_Equipos!$C$1:$E$39,2,FALSE)</f>
        <v>#N/A</v>
      </c>
      <c r="J692" s="2">
        <f t="shared" si="11"/>
        <v>0</v>
      </c>
    </row>
    <row r="693" spans="1:10" x14ac:dyDescent="0.3">
      <c r="A693" s="2"/>
      <c r="C693" s="1"/>
      <c r="D693" s="1"/>
      <c r="E693" t="e">
        <f>+VLOOKUP(tbl_registro[[#This Row],[Patente]],Pivot_Equipos!$A$1:$E$39,3,FALSE)</f>
        <v>#N/A</v>
      </c>
      <c r="F693" s="2" t="e">
        <f>+VLOOKUP(tbl_registro[[#This Row],[Tipo Equipo]],Pivot_Equipos!$C$1:$E$39,2,FALSE)</f>
        <v>#N/A</v>
      </c>
      <c r="J693" s="2">
        <f t="shared" si="11"/>
        <v>0</v>
      </c>
    </row>
    <row r="694" spans="1:10" x14ac:dyDescent="0.3">
      <c r="A694" s="2"/>
      <c r="C694" s="1"/>
      <c r="D694" s="1"/>
      <c r="E694" t="e">
        <f>+VLOOKUP(tbl_registro[[#This Row],[Patente]],Pivot_Equipos!$A$1:$E$39,3,FALSE)</f>
        <v>#N/A</v>
      </c>
      <c r="F694" s="2" t="e">
        <f>+VLOOKUP(tbl_registro[[#This Row],[Tipo Equipo]],Pivot_Equipos!$C$1:$E$39,2,FALSE)</f>
        <v>#N/A</v>
      </c>
      <c r="J694" s="2">
        <f t="shared" si="11"/>
        <v>0</v>
      </c>
    </row>
    <row r="695" spans="1:10" x14ac:dyDescent="0.3">
      <c r="A695" s="2"/>
      <c r="C695" s="1"/>
      <c r="D695" s="1"/>
      <c r="E695" t="e">
        <f>+VLOOKUP(tbl_registro[[#This Row],[Patente]],Pivot_Equipos!$A$1:$E$39,3,FALSE)</f>
        <v>#N/A</v>
      </c>
      <c r="F695" s="2" t="e">
        <f>+VLOOKUP(tbl_registro[[#This Row],[Tipo Equipo]],Pivot_Equipos!$C$1:$E$39,2,FALSE)</f>
        <v>#N/A</v>
      </c>
      <c r="J695" s="2">
        <f t="shared" si="11"/>
        <v>0</v>
      </c>
    </row>
    <row r="696" spans="1:10" x14ac:dyDescent="0.3">
      <c r="A696" s="2"/>
      <c r="C696" s="1"/>
      <c r="D696" s="1"/>
      <c r="E696" t="e">
        <f>+VLOOKUP(tbl_registro[[#This Row],[Patente]],Pivot_Equipos!$A$1:$E$39,3,FALSE)</f>
        <v>#N/A</v>
      </c>
      <c r="F696" s="2" t="e">
        <f>+VLOOKUP(tbl_registro[[#This Row],[Tipo Equipo]],Pivot_Equipos!$C$1:$E$39,2,FALSE)</f>
        <v>#N/A</v>
      </c>
      <c r="J696" s="2">
        <f t="shared" si="11"/>
        <v>0</v>
      </c>
    </row>
    <row r="697" spans="1:10" x14ac:dyDescent="0.3">
      <c r="A697" s="2"/>
      <c r="C697" s="1"/>
      <c r="D697" s="1"/>
      <c r="E697" t="e">
        <f>+VLOOKUP(tbl_registro[[#This Row],[Patente]],Pivot_Equipos!$A$1:$E$39,3,FALSE)</f>
        <v>#N/A</v>
      </c>
      <c r="F697" s="2" t="e">
        <f>+VLOOKUP(tbl_registro[[#This Row],[Tipo Equipo]],Pivot_Equipos!$C$1:$E$39,2,FALSE)</f>
        <v>#N/A</v>
      </c>
      <c r="J697" s="2">
        <f t="shared" si="11"/>
        <v>0</v>
      </c>
    </row>
    <row r="698" spans="1:10" x14ac:dyDescent="0.3">
      <c r="A698" s="2"/>
      <c r="C698" s="1"/>
      <c r="D698" s="1"/>
      <c r="E698" t="e">
        <f>+VLOOKUP(tbl_registro[[#This Row],[Patente]],Pivot_Equipos!$A$1:$E$39,3,FALSE)</f>
        <v>#N/A</v>
      </c>
      <c r="F698" s="2" t="e">
        <f>+VLOOKUP(tbl_registro[[#This Row],[Tipo Equipo]],Pivot_Equipos!$C$1:$E$39,2,FALSE)</f>
        <v>#N/A</v>
      </c>
      <c r="J698" s="2">
        <f t="shared" si="11"/>
        <v>0</v>
      </c>
    </row>
    <row r="699" spans="1:10" x14ac:dyDescent="0.3">
      <c r="A699" s="2"/>
      <c r="C699" s="1"/>
      <c r="D699" s="1"/>
      <c r="E699" t="e">
        <f>+VLOOKUP(tbl_registro[[#This Row],[Patente]],Pivot_Equipos!$A$1:$E$39,3,FALSE)</f>
        <v>#N/A</v>
      </c>
      <c r="F699" s="2" t="e">
        <f>+VLOOKUP(tbl_registro[[#This Row],[Tipo Equipo]],Pivot_Equipos!$C$1:$E$39,2,FALSE)</f>
        <v>#N/A</v>
      </c>
      <c r="J699" s="2">
        <f t="shared" si="11"/>
        <v>0</v>
      </c>
    </row>
    <row r="700" spans="1:10" x14ac:dyDescent="0.3">
      <c r="A700" s="2"/>
      <c r="C700" s="1"/>
      <c r="D700" s="1"/>
      <c r="E700" t="e">
        <f>+VLOOKUP(tbl_registro[[#This Row],[Patente]],Pivot_Equipos!$A$1:$E$39,3,FALSE)</f>
        <v>#N/A</v>
      </c>
      <c r="F700" s="2" t="e">
        <f>+VLOOKUP(tbl_registro[[#This Row],[Tipo Equipo]],Pivot_Equipos!$C$1:$E$39,2,FALSE)</f>
        <v>#N/A</v>
      </c>
      <c r="J700" s="2">
        <f t="shared" si="11"/>
        <v>0</v>
      </c>
    </row>
    <row r="701" spans="1:10" x14ac:dyDescent="0.3">
      <c r="A701" s="2"/>
      <c r="C701" s="1"/>
      <c r="D701" s="1"/>
      <c r="E701" t="e">
        <f>+VLOOKUP(tbl_registro[[#This Row],[Patente]],Pivot_Equipos!$A$1:$E$39,3,FALSE)</f>
        <v>#N/A</v>
      </c>
      <c r="F701" s="2" t="e">
        <f>+VLOOKUP(tbl_registro[[#This Row],[Tipo Equipo]],Pivot_Equipos!$C$1:$E$39,2,FALSE)</f>
        <v>#N/A</v>
      </c>
      <c r="J701" s="2">
        <f t="shared" si="11"/>
        <v>0</v>
      </c>
    </row>
    <row r="702" spans="1:10" x14ac:dyDescent="0.3">
      <c r="A702" s="2"/>
      <c r="C702" s="1"/>
      <c r="D702" s="1"/>
      <c r="E702" t="e">
        <f>+VLOOKUP(tbl_registro[[#This Row],[Patente]],Pivot_Equipos!$A$1:$E$39,3,FALSE)</f>
        <v>#N/A</v>
      </c>
      <c r="F702" s="2" t="e">
        <f>+VLOOKUP(tbl_registro[[#This Row],[Tipo Equipo]],Pivot_Equipos!$C$1:$E$39,2,FALSE)</f>
        <v>#N/A</v>
      </c>
      <c r="J702" s="2">
        <f t="shared" si="11"/>
        <v>0</v>
      </c>
    </row>
    <row r="703" spans="1:10" x14ac:dyDescent="0.3">
      <c r="A703" s="2"/>
      <c r="C703" s="1"/>
      <c r="D703" s="1"/>
      <c r="E703" t="e">
        <f>+VLOOKUP(tbl_registro[[#This Row],[Patente]],Pivot_Equipos!$A$1:$E$39,3,FALSE)</f>
        <v>#N/A</v>
      </c>
      <c r="F703" s="2" t="e">
        <f>+VLOOKUP(tbl_registro[[#This Row],[Tipo Equipo]],Pivot_Equipos!$C$1:$E$39,2,FALSE)</f>
        <v>#N/A</v>
      </c>
      <c r="J703" s="2">
        <f t="shared" si="11"/>
        <v>0</v>
      </c>
    </row>
    <row r="704" spans="1:10" x14ac:dyDescent="0.3">
      <c r="A704" s="2"/>
      <c r="C704" s="1"/>
      <c r="D704" s="1"/>
      <c r="E704" t="e">
        <f>+VLOOKUP(tbl_registro[[#This Row],[Patente]],Pivot_Equipos!$A$1:$E$39,3,FALSE)</f>
        <v>#N/A</v>
      </c>
      <c r="F704" s="2" t="e">
        <f>+VLOOKUP(tbl_registro[[#This Row],[Tipo Equipo]],Pivot_Equipos!$C$1:$E$39,2,FALSE)</f>
        <v>#N/A</v>
      </c>
      <c r="J704" s="2">
        <f t="shared" si="11"/>
        <v>0</v>
      </c>
    </row>
    <row r="705" spans="1:10" x14ac:dyDescent="0.3">
      <c r="A705" s="2"/>
      <c r="C705" s="1"/>
      <c r="D705" s="1"/>
      <c r="E705" t="e">
        <f>+VLOOKUP(tbl_registro[[#This Row],[Patente]],Pivot_Equipos!$A$1:$E$39,3,FALSE)</f>
        <v>#N/A</v>
      </c>
      <c r="F705" s="2" t="e">
        <f>+VLOOKUP(tbl_registro[[#This Row],[Tipo Equipo]],Pivot_Equipos!$C$1:$E$39,2,FALSE)</f>
        <v>#N/A</v>
      </c>
      <c r="J705" s="2">
        <f t="shared" si="11"/>
        <v>0</v>
      </c>
    </row>
    <row r="706" spans="1:10" x14ac:dyDescent="0.3">
      <c r="A706" s="2"/>
      <c r="C706" s="1"/>
      <c r="D706" s="1"/>
      <c r="E706" t="e">
        <f>+VLOOKUP(tbl_registro[[#This Row],[Patente]],Pivot_Equipos!$A$1:$E$39,3,FALSE)</f>
        <v>#N/A</v>
      </c>
      <c r="F706" s="2" t="e">
        <f>+VLOOKUP(tbl_registro[[#This Row],[Tipo Equipo]],Pivot_Equipos!$C$1:$E$39,2,FALSE)</f>
        <v>#N/A</v>
      </c>
      <c r="J706" s="2">
        <f t="shared" ref="J706:J769" si="12">I706-H706</f>
        <v>0</v>
      </c>
    </row>
    <row r="707" spans="1:10" x14ac:dyDescent="0.3">
      <c r="A707" s="2"/>
      <c r="C707" s="1"/>
      <c r="D707" s="1"/>
      <c r="E707" t="e">
        <f>+VLOOKUP(tbl_registro[[#This Row],[Patente]],Pivot_Equipos!$A$1:$E$39,3,FALSE)</f>
        <v>#N/A</v>
      </c>
      <c r="F707" s="2" t="e">
        <f>+VLOOKUP(tbl_registro[[#This Row],[Tipo Equipo]],Pivot_Equipos!$C$1:$E$39,2,FALSE)</f>
        <v>#N/A</v>
      </c>
      <c r="J707" s="2">
        <f t="shared" si="12"/>
        <v>0</v>
      </c>
    </row>
    <row r="708" spans="1:10" x14ac:dyDescent="0.3">
      <c r="A708" s="2"/>
      <c r="C708" s="1"/>
      <c r="D708" s="1"/>
      <c r="E708" t="e">
        <f>+VLOOKUP(tbl_registro[[#This Row],[Patente]],Pivot_Equipos!$A$1:$E$39,3,FALSE)</f>
        <v>#N/A</v>
      </c>
      <c r="F708" s="2" t="e">
        <f>+VLOOKUP(tbl_registro[[#This Row],[Tipo Equipo]],Pivot_Equipos!$C$1:$E$39,2,FALSE)</f>
        <v>#N/A</v>
      </c>
      <c r="J708" s="2">
        <f t="shared" si="12"/>
        <v>0</v>
      </c>
    </row>
    <row r="709" spans="1:10" x14ac:dyDescent="0.3">
      <c r="A709" s="2"/>
      <c r="C709" s="1"/>
      <c r="D709" s="1"/>
      <c r="E709" t="e">
        <f>+VLOOKUP(tbl_registro[[#This Row],[Patente]],Pivot_Equipos!$A$1:$E$39,3,FALSE)</f>
        <v>#N/A</v>
      </c>
      <c r="F709" s="2" t="e">
        <f>+VLOOKUP(tbl_registro[[#This Row],[Tipo Equipo]],Pivot_Equipos!$C$1:$E$39,2,FALSE)</f>
        <v>#N/A</v>
      </c>
      <c r="J709" s="2">
        <f t="shared" si="12"/>
        <v>0</v>
      </c>
    </row>
    <row r="710" spans="1:10" x14ac:dyDescent="0.3">
      <c r="A710" s="2"/>
      <c r="C710" s="1"/>
      <c r="D710" s="1"/>
      <c r="E710" t="e">
        <f>+VLOOKUP(tbl_registro[[#This Row],[Patente]],Pivot_Equipos!$A$1:$E$39,3,FALSE)</f>
        <v>#N/A</v>
      </c>
      <c r="F710" s="2" t="e">
        <f>+VLOOKUP(tbl_registro[[#This Row],[Tipo Equipo]],Pivot_Equipos!$C$1:$E$39,2,FALSE)</f>
        <v>#N/A</v>
      </c>
      <c r="J710" s="2">
        <f t="shared" si="12"/>
        <v>0</v>
      </c>
    </row>
    <row r="711" spans="1:10" x14ac:dyDescent="0.3">
      <c r="A711" s="2"/>
      <c r="C711" s="1"/>
      <c r="D711" s="1"/>
      <c r="E711" t="e">
        <f>+VLOOKUP(tbl_registro[[#This Row],[Patente]],Pivot_Equipos!$A$1:$E$39,3,FALSE)</f>
        <v>#N/A</v>
      </c>
      <c r="F711" s="2" t="e">
        <f>+VLOOKUP(tbl_registro[[#This Row],[Tipo Equipo]],Pivot_Equipos!$C$1:$E$39,2,FALSE)</f>
        <v>#N/A</v>
      </c>
      <c r="J711" s="2">
        <f t="shared" si="12"/>
        <v>0</v>
      </c>
    </row>
    <row r="712" spans="1:10" x14ac:dyDescent="0.3">
      <c r="A712" s="2"/>
      <c r="C712" s="1"/>
      <c r="D712" s="1"/>
      <c r="E712" t="e">
        <f>+VLOOKUP(tbl_registro[[#This Row],[Patente]],Pivot_Equipos!$A$1:$E$39,3,FALSE)</f>
        <v>#N/A</v>
      </c>
      <c r="F712" s="2" t="e">
        <f>+VLOOKUP(tbl_registro[[#This Row],[Tipo Equipo]],Pivot_Equipos!$C$1:$E$39,2,FALSE)</f>
        <v>#N/A</v>
      </c>
      <c r="J712" s="2">
        <f t="shared" si="12"/>
        <v>0</v>
      </c>
    </row>
    <row r="713" spans="1:10" x14ac:dyDescent="0.3">
      <c r="A713" s="2"/>
      <c r="C713" s="1"/>
      <c r="D713" s="1"/>
      <c r="E713" t="e">
        <f>+VLOOKUP(tbl_registro[[#This Row],[Patente]],Pivot_Equipos!$A$1:$E$39,3,FALSE)</f>
        <v>#N/A</v>
      </c>
      <c r="F713" s="2" t="e">
        <f>+VLOOKUP(tbl_registro[[#This Row],[Tipo Equipo]],Pivot_Equipos!$C$1:$E$39,2,FALSE)</f>
        <v>#N/A</v>
      </c>
      <c r="J713" s="2">
        <f t="shared" si="12"/>
        <v>0</v>
      </c>
    </row>
    <row r="714" spans="1:10" x14ac:dyDescent="0.3">
      <c r="A714" s="2"/>
      <c r="C714" s="1"/>
      <c r="D714" s="1"/>
      <c r="E714" t="e">
        <f>+VLOOKUP(tbl_registro[[#This Row],[Patente]],Pivot_Equipos!$A$1:$E$39,3,FALSE)</f>
        <v>#N/A</v>
      </c>
      <c r="F714" s="2" t="e">
        <f>+VLOOKUP(tbl_registro[[#This Row],[Tipo Equipo]],Pivot_Equipos!$C$1:$E$39,2,FALSE)</f>
        <v>#N/A</v>
      </c>
      <c r="J714" s="2">
        <f t="shared" si="12"/>
        <v>0</v>
      </c>
    </row>
    <row r="715" spans="1:10" x14ac:dyDescent="0.3">
      <c r="A715" s="2"/>
      <c r="C715" s="1"/>
      <c r="D715" s="1"/>
      <c r="E715" t="e">
        <f>+VLOOKUP(tbl_registro[[#This Row],[Patente]],Pivot_Equipos!$A$1:$E$39,3,FALSE)</f>
        <v>#N/A</v>
      </c>
      <c r="F715" s="2" t="e">
        <f>+VLOOKUP(tbl_registro[[#This Row],[Tipo Equipo]],Pivot_Equipos!$C$1:$E$39,2,FALSE)</f>
        <v>#N/A</v>
      </c>
      <c r="J715" s="2">
        <f t="shared" si="12"/>
        <v>0</v>
      </c>
    </row>
    <row r="716" spans="1:10" x14ac:dyDescent="0.3">
      <c r="A716" s="2"/>
      <c r="C716" s="1"/>
      <c r="D716" s="1"/>
      <c r="E716" t="e">
        <f>+VLOOKUP(tbl_registro[[#This Row],[Patente]],Pivot_Equipos!$A$1:$E$39,3,FALSE)</f>
        <v>#N/A</v>
      </c>
      <c r="F716" s="2" t="e">
        <f>+VLOOKUP(tbl_registro[[#This Row],[Tipo Equipo]],Pivot_Equipos!$C$1:$E$39,2,FALSE)</f>
        <v>#N/A</v>
      </c>
      <c r="J716" s="2">
        <f t="shared" si="12"/>
        <v>0</v>
      </c>
    </row>
    <row r="717" spans="1:10" x14ac:dyDescent="0.3">
      <c r="A717" s="2"/>
      <c r="C717" s="1"/>
      <c r="D717" s="1"/>
      <c r="E717" t="e">
        <f>+VLOOKUP(tbl_registro[[#This Row],[Patente]],Pivot_Equipos!$A$1:$E$39,3,FALSE)</f>
        <v>#N/A</v>
      </c>
      <c r="F717" s="2" t="e">
        <f>+VLOOKUP(tbl_registro[[#This Row],[Tipo Equipo]],Pivot_Equipos!$C$1:$E$39,2,FALSE)</f>
        <v>#N/A</v>
      </c>
      <c r="J717" s="2">
        <f t="shared" si="12"/>
        <v>0</v>
      </c>
    </row>
    <row r="718" spans="1:10" x14ac:dyDescent="0.3">
      <c r="A718" s="2"/>
      <c r="C718" s="1"/>
      <c r="D718" s="1"/>
      <c r="E718" t="e">
        <f>+VLOOKUP(tbl_registro[[#This Row],[Patente]],Pivot_Equipos!$A$1:$E$39,3,FALSE)</f>
        <v>#N/A</v>
      </c>
      <c r="F718" s="2" t="e">
        <f>+VLOOKUP(tbl_registro[[#This Row],[Tipo Equipo]],Pivot_Equipos!$C$1:$E$39,2,FALSE)</f>
        <v>#N/A</v>
      </c>
      <c r="J718" s="2">
        <f t="shared" si="12"/>
        <v>0</v>
      </c>
    </row>
    <row r="719" spans="1:10" x14ac:dyDescent="0.3">
      <c r="A719" s="2"/>
      <c r="C719" s="1"/>
      <c r="D719" s="1"/>
      <c r="E719" t="e">
        <f>+VLOOKUP(tbl_registro[[#This Row],[Patente]],Pivot_Equipos!$A$1:$E$39,3,FALSE)</f>
        <v>#N/A</v>
      </c>
      <c r="F719" s="2" t="e">
        <f>+VLOOKUP(tbl_registro[[#This Row],[Tipo Equipo]],Pivot_Equipos!$C$1:$E$39,2,FALSE)</f>
        <v>#N/A</v>
      </c>
      <c r="J719" s="2">
        <f t="shared" si="12"/>
        <v>0</v>
      </c>
    </row>
    <row r="720" spans="1:10" x14ac:dyDescent="0.3">
      <c r="A720" s="2"/>
      <c r="C720" s="1"/>
      <c r="D720" s="1"/>
      <c r="E720" t="e">
        <f>+VLOOKUP(tbl_registro[[#This Row],[Patente]],Pivot_Equipos!$A$1:$E$39,3,FALSE)</f>
        <v>#N/A</v>
      </c>
      <c r="F720" s="2" t="e">
        <f>+VLOOKUP(tbl_registro[[#This Row],[Tipo Equipo]],Pivot_Equipos!$C$1:$E$39,2,FALSE)</f>
        <v>#N/A</v>
      </c>
      <c r="J720" s="2">
        <f t="shared" si="12"/>
        <v>0</v>
      </c>
    </row>
    <row r="721" spans="1:10" x14ac:dyDescent="0.3">
      <c r="A721" s="2"/>
      <c r="C721" s="1"/>
      <c r="D721" s="1"/>
      <c r="E721" t="e">
        <f>+VLOOKUP(tbl_registro[[#This Row],[Patente]],Pivot_Equipos!$A$1:$E$39,3,FALSE)</f>
        <v>#N/A</v>
      </c>
      <c r="F721" s="2" t="e">
        <f>+VLOOKUP(tbl_registro[[#This Row],[Tipo Equipo]],Pivot_Equipos!$C$1:$E$39,2,FALSE)</f>
        <v>#N/A</v>
      </c>
      <c r="J721" s="2">
        <f t="shared" si="12"/>
        <v>0</v>
      </c>
    </row>
    <row r="722" spans="1:10" x14ac:dyDescent="0.3">
      <c r="A722" s="2"/>
      <c r="C722" s="1"/>
      <c r="D722" s="1"/>
      <c r="E722" t="e">
        <f>+VLOOKUP(tbl_registro[[#This Row],[Patente]],Pivot_Equipos!$A$1:$E$39,3,FALSE)</f>
        <v>#N/A</v>
      </c>
      <c r="F722" s="2" t="e">
        <f>+VLOOKUP(tbl_registro[[#This Row],[Tipo Equipo]],Pivot_Equipos!$C$1:$E$39,2,FALSE)</f>
        <v>#N/A</v>
      </c>
      <c r="J722" s="2">
        <f t="shared" si="12"/>
        <v>0</v>
      </c>
    </row>
    <row r="723" spans="1:10" x14ac:dyDescent="0.3">
      <c r="A723" s="2"/>
      <c r="C723" s="1"/>
      <c r="D723" s="1"/>
      <c r="E723" t="e">
        <f>+VLOOKUP(tbl_registro[[#This Row],[Patente]],Pivot_Equipos!$A$1:$E$39,3,FALSE)</f>
        <v>#N/A</v>
      </c>
      <c r="F723" s="2" t="e">
        <f>+VLOOKUP(tbl_registro[[#This Row],[Tipo Equipo]],Pivot_Equipos!$C$1:$E$39,2,FALSE)</f>
        <v>#N/A</v>
      </c>
      <c r="J723" s="2">
        <f t="shared" si="12"/>
        <v>0</v>
      </c>
    </row>
    <row r="724" spans="1:10" x14ac:dyDescent="0.3">
      <c r="A724" s="2"/>
      <c r="C724" s="1"/>
      <c r="D724" s="1"/>
      <c r="E724" t="e">
        <f>+VLOOKUP(tbl_registro[[#This Row],[Patente]],Pivot_Equipos!$A$1:$E$39,3,FALSE)</f>
        <v>#N/A</v>
      </c>
      <c r="F724" s="2" t="e">
        <f>+VLOOKUP(tbl_registro[[#This Row],[Tipo Equipo]],Pivot_Equipos!$C$1:$E$39,2,FALSE)</f>
        <v>#N/A</v>
      </c>
      <c r="J724" s="2">
        <f t="shared" si="12"/>
        <v>0</v>
      </c>
    </row>
    <row r="725" spans="1:10" x14ac:dyDescent="0.3">
      <c r="A725" s="2"/>
      <c r="C725" s="1"/>
      <c r="D725" s="1"/>
      <c r="E725" t="e">
        <f>+VLOOKUP(tbl_registro[[#This Row],[Patente]],Pivot_Equipos!$A$1:$E$39,3,FALSE)</f>
        <v>#N/A</v>
      </c>
      <c r="F725" s="2" t="e">
        <f>+VLOOKUP(tbl_registro[[#This Row],[Tipo Equipo]],Pivot_Equipos!$C$1:$E$39,2,FALSE)</f>
        <v>#N/A</v>
      </c>
      <c r="J725" s="2">
        <f t="shared" si="12"/>
        <v>0</v>
      </c>
    </row>
    <row r="726" spans="1:10" x14ac:dyDescent="0.3">
      <c r="A726" s="2"/>
      <c r="C726" s="1"/>
      <c r="D726" s="1"/>
      <c r="E726" t="e">
        <f>+VLOOKUP(tbl_registro[[#This Row],[Patente]],Pivot_Equipos!$A$1:$E$39,3,FALSE)</f>
        <v>#N/A</v>
      </c>
      <c r="F726" s="2" t="e">
        <f>+VLOOKUP(tbl_registro[[#This Row],[Tipo Equipo]],Pivot_Equipos!$C$1:$E$39,2,FALSE)</f>
        <v>#N/A</v>
      </c>
      <c r="J726" s="2">
        <f t="shared" si="12"/>
        <v>0</v>
      </c>
    </row>
    <row r="727" spans="1:10" x14ac:dyDescent="0.3">
      <c r="A727" s="2"/>
      <c r="C727" s="1"/>
      <c r="D727" s="1"/>
      <c r="E727" t="e">
        <f>+VLOOKUP(tbl_registro[[#This Row],[Patente]],Pivot_Equipos!$A$1:$E$39,3,FALSE)</f>
        <v>#N/A</v>
      </c>
      <c r="F727" s="2" t="e">
        <f>+VLOOKUP(tbl_registro[[#This Row],[Tipo Equipo]],Pivot_Equipos!$C$1:$E$39,2,FALSE)</f>
        <v>#N/A</v>
      </c>
      <c r="J727" s="2">
        <f t="shared" si="12"/>
        <v>0</v>
      </c>
    </row>
    <row r="728" spans="1:10" x14ac:dyDescent="0.3">
      <c r="A728" s="2"/>
      <c r="C728" s="1"/>
      <c r="D728" s="1"/>
      <c r="E728" t="e">
        <f>+VLOOKUP(tbl_registro[[#This Row],[Patente]],Pivot_Equipos!$A$1:$E$39,3,FALSE)</f>
        <v>#N/A</v>
      </c>
      <c r="F728" s="2" t="e">
        <f>+VLOOKUP(tbl_registro[[#This Row],[Tipo Equipo]],Pivot_Equipos!$C$1:$E$39,2,FALSE)</f>
        <v>#N/A</v>
      </c>
      <c r="J728" s="2">
        <f t="shared" si="12"/>
        <v>0</v>
      </c>
    </row>
    <row r="729" spans="1:10" x14ac:dyDescent="0.3">
      <c r="A729" s="2"/>
      <c r="C729" s="1"/>
      <c r="D729" s="1"/>
      <c r="E729" t="e">
        <f>+VLOOKUP(tbl_registro[[#This Row],[Patente]],Pivot_Equipos!$A$1:$E$39,3,FALSE)</f>
        <v>#N/A</v>
      </c>
      <c r="F729" s="2" t="e">
        <f>+VLOOKUP(tbl_registro[[#This Row],[Tipo Equipo]],Pivot_Equipos!$C$1:$E$39,2,FALSE)</f>
        <v>#N/A</v>
      </c>
      <c r="J729" s="2">
        <f t="shared" si="12"/>
        <v>0</v>
      </c>
    </row>
    <row r="730" spans="1:10" x14ac:dyDescent="0.3">
      <c r="A730" s="2"/>
      <c r="C730" s="1"/>
      <c r="D730" s="1"/>
      <c r="E730" t="e">
        <f>+VLOOKUP(tbl_registro[[#This Row],[Patente]],Pivot_Equipos!$A$1:$E$39,3,FALSE)</f>
        <v>#N/A</v>
      </c>
      <c r="F730" s="2" t="e">
        <f>+VLOOKUP(tbl_registro[[#This Row],[Tipo Equipo]],Pivot_Equipos!$C$1:$E$39,2,FALSE)</f>
        <v>#N/A</v>
      </c>
      <c r="J730" s="2">
        <f t="shared" si="12"/>
        <v>0</v>
      </c>
    </row>
    <row r="731" spans="1:10" x14ac:dyDescent="0.3">
      <c r="A731" s="2"/>
      <c r="C731" s="1"/>
      <c r="D731" s="1"/>
      <c r="E731" t="e">
        <f>+VLOOKUP(tbl_registro[[#This Row],[Patente]],Pivot_Equipos!$A$1:$E$39,3,FALSE)</f>
        <v>#N/A</v>
      </c>
      <c r="F731" s="2" t="e">
        <f>+VLOOKUP(tbl_registro[[#This Row],[Tipo Equipo]],Pivot_Equipos!$C$1:$E$39,2,FALSE)</f>
        <v>#N/A</v>
      </c>
      <c r="J731" s="2">
        <f t="shared" si="12"/>
        <v>0</v>
      </c>
    </row>
    <row r="732" spans="1:10" x14ac:dyDescent="0.3">
      <c r="A732" s="2"/>
      <c r="C732" s="1"/>
      <c r="D732" s="1"/>
      <c r="E732" t="e">
        <f>+VLOOKUP(tbl_registro[[#This Row],[Patente]],Pivot_Equipos!$A$1:$E$39,3,FALSE)</f>
        <v>#N/A</v>
      </c>
      <c r="F732" s="2" t="e">
        <f>+VLOOKUP(tbl_registro[[#This Row],[Tipo Equipo]],Pivot_Equipos!$C$1:$E$39,2,FALSE)</f>
        <v>#N/A</v>
      </c>
      <c r="J732" s="2">
        <f t="shared" si="12"/>
        <v>0</v>
      </c>
    </row>
    <row r="733" spans="1:10" x14ac:dyDescent="0.3">
      <c r="A733" s="2"/>
      <c r="C733" s="1"/>
      <c r="D733" s="1"/>
      <c r="E733" t="e">
        <f>+VLOOKUP(tbl_registro[[#This Row],[Patente]],Pivot_Equipos!$A$1:$E$39,3,FALSE)</f>
        <v>#N/A</v>
      </c>
      <c r="F733" s="2" t="e">
        <f>+VLOOKUP(tbl_registro[[#This Row],[Tipo Equipo]],Pivot_Equipos!$C$1:$E$39,2,FALSE)</f>
        <v>#N/A</v>
      </c>
      <c r="J733" s="2">
        <f t="shared" si="12"/>
        <v>0</v>
      </c>
    </row>
    <row r="734" spans="1:10" x14ac:dyDescent="0.3">
      <c r="A734" s="2"/>
      <c r="C734" s="1"/>
      <c r="D734" s="1"/>
      <c r="E734" t="e">
        <f>+VLOOKUP(tbl_registro[[#This Row],[Patente]],Pivot_Equipos!$A$1:$E$39,3,FALSE)</f>
        <v>#N/A</v>
      </c>
      <c r="F734" s="2" t="e">
        <f>+VLOOKUP(tbl_registro[[#This Row],[Tipo Equipo]],Pivot_Equipos!$C$1:$E$39,2,FALSE)</f>
        <v>#N/A</v>
      </c>
      <c r="J734" s="2">
        <f t="shared" si="12"/>
        <v>0</v>
      </c>
    </row>
    <row r="735" spans="1:10" x14ac:dyDescent="0.3">
      <c r="A735" s="2"/>
      <c r="C735" s="1"/>
      <c r="D735" s="1"/>
      <c r="E735" t="e">
        <f>+VLOOKUP(tbl_registro[[#This Row],[Patente]],Pivot_Equipos!$A$1:$E$39,3,FALSE)</f>
        <v>#N/A</v>
      </c>
      <c r="F735" s="2" t="e">
        <f>+VLOOKUP(tbl_registro[[#This Row],[Tipo Equipo]],Pivot_Equipos!$C$1:$E$39,2,FALSE)</f>
        <v>#N/A</v>
      </c>
      <c r="J735" s="2">
        <f t="shared" si="12"/>
        <v>0</v>
      </c>
    </row>
    <row r="736" spans="1:10" x14ac:dyDescent="0.3">
      <c r="A736" s="2"/>
      <c r="C736" s="1"/>
      <c r="D736" s="1"/>
      <c r="E736" t="e">
        <f>+VLOOKUP(tbl_registro[[#This Row],[Patente]],Pivot_Equipos!$A$1:$E$39,3,FALSE)</f>
        <v>#N/A</v>
      </c>
      <c r="F736" s="2" t="e">
        <f>+VLOOKUP(tbl_registro[[#This Row],[Tipo Equipo]],Pivot_Equipos!$C$1:$E$39,2,FALSE)</f>
        <v>#N/A</v>
      </c>
      <c r="J736" s="2">
        <f t="shared" si="12"/>
        <v>0</v>
      </c>
    </row>
    <row r="737" spans="1:10" x14ac:dyDescent="0.3">
      <c r="A737" s="2"/>
      <c r="C737" s="1"/>
      <c r="D737" s="1"/>
      <c r="E737" t="e">
        <f>+VLOOKUP(tbl_registro[[#This Row],[Patente]],Pivot_Equipos!$A$1:$E$39,3,FALSE)</f>
        <v>#N/A</v>
      </c>
      <c r="F737" s="2" t="e">
        <f>+VLOOKUP(tbl_registro[[#This Row],[Tipo Equipo]],Pivot_Equipos!$C$1:$E$39,2,FALSE)</f>
        <v>#N/A</v>
      </c>
      <c r="J737" s="2">
        <f t="shared" si="12"/>
        <v>0</v>
      </c>
    </row>
    <row r="738" spans="1:10" x14ac:dyDescent="0.3">
      <c r="A738" s="2"/>
      <c r="C738" s="1"/>
      <c r="D738" s="1"/>
      <c r="E738" t="e">
        <f>+VLOOKUP(tbl_registro[[#This Row],[Patente]],Pivot_Equipos!$A$1:$E$39,3,FALSE)</f>
        <v>#N/A</v>
      </c>
      <c r="F738" s="2" t="e">
        <f>+VLOOKUP(tbl_registro[[#This Row],[Tipo Equipo]],Pivot_Equipos!$C$1:$E$39,2,FALSE)</f>
        <v>#N/A</v>
      </c>
      <c r="J738" s="2">
        <f t="shared" si="12"/>
        <v>0</v>
      </c>
    </row>
    <row r="739" spans="1:10" x14ac:dyDescent="0.3">
      <c r="A739" s="2"/>
      <c r="C739" s="1"/>
      <c r="D739" s="1"/>
      <c r="E739" t="e">
        <f>+VLOOKUP(tbl_registro[[#This Row],[Patente]],Pivot_Equipos!$A$1:$E$39,3,FALSE)</f>
        <v>#N/A</v>
      </c>
      <c r="F739" s="2" t="e">
        <f>+VLOOKUP(tbl_registro[[#This Row],[Tipo Equipo]],Pivot_Equipos!$C$1:$E$39,2,FALSE)</f>
        <v>#N/A</v>
      </c>
      <c r="J739" s="2">
        <f t="shared" si="12"/>
        <v>0</v>
      </c>
    </row>
    <row r="740" spans="1:10" x14ac:dyDescent="0.3">
      <c r="A740" s="2"/>
      <c r="C740" s="1"/>
      <c r="D740" s="1"/>
      <c r="E740" t="e">
        <f>+VLOOKUP(tbl_registro[[#This Row],[Patente]],Pivot_Equipos!$A$1:$E$39,3,FALSE)</f>
        <v>#N/A</v>
      </c>
      <c r="F740" s="2" t="e">
        <f>+VLOOKUP(tbl_registro[[#This Row],[Tipo Equipo]],Pivot_Equipos!$C$1:$E$39,2,FALSE)</f>
        <v>#N/A</v>
      </c>
      <c r="J740" s="2">
        <f t="shared" si="12"/>
        <v>0</v>
      </c>
    </row>
    <row r="741" spans="1:10" x14ac:dyDescent="0.3">
      <c r="A741" s="2"/>
      <c r="C741" s="1"/>
      <c r="D741" s="1"/>
      <c r="E741" t="e">
        <f>+VLOOKUP(tbl_registro[[#This Row],[Patente]],Pivot_Equipos!$A$1:$E$39,3,FALSE)</f>
        <v>#N/A</v>
      </c>
      <c r="F741" s="2" t="e">
        <f>+VLOOKUP(tbl_registro[[#This Row],[Tipo Equipo]],Pivot_Equipos!$C$1:$E$39,2,FALSE)</f>
        <v>#N/A</v>
      </c>
      <c r="J741" s="2">
        <f t="shared" si="12"/>
        <v>0</v>
      </c>
    </row>
    <row r="742" spans="1:10" x14ac:dyDescent="0.3">
      <c r="A742" s="2"/>
      <c r="C742" s="1"/>
      <c r="D742" s="1"/>
      <c r="E742" t="e">
        <f>+VLOOKUP(tbl_registro[[#This Row],[Patente]],Pivot_Equipos!$A$1:$E$39,3,FALSE)</f>
        <v>#N/A</v>
      </c>
      <c r="F742" s="2" t="e">
        <f>+VLOOKUP(tbl_registro[[#This Row],[Tipo Equipo]],Pivot_Equipos!$C$1:$E$39,2,FALSE)</f>
        <v>#N/A</v>
      </c>
      <c r="J742" s="2">
        <f t="shared" si="12"/>
        <v>0</v>
      </c>
    </row>
    <row r="743" spans="1:10" x14ac:dyDescent="0.3">
      <c r="A743" s="2"/>
      <c r="C743" s="1"/>
      <c r="D743" s="1"/>
      <c r="E743" t="e">
        <f>+VLOOKUP(tbl_registro[[#This Row],[Patente]],Pivot_Equipos!$A$1:$E$39,3,FALSE)</f>
        <v>#N/A</v>
      </c>
      <c r="F743" s="2" t="e">
        <f>+VLOOKUP(tbl_registro[[#This Row],[Tipo Equipo]],Pivot_Equipos!$C$1:$E$39,2,FALSE)</f>
        <v>#N/A</v>
      </c>
      <c r="J743" s="2">
        <f t="shared" si="12"/>
        <v>0</v>
      </c>
    </row>
    <row r="744" spans="1:10" x14ac:dyDescent="0.3">
      <c r="A744" s="2"/>
      <c r="C744" s="1"/>
      <c r="D744" s="1"/>
      <c r="E744" t="e">
        <f>+VLOOKUP(tbl_registro[[#This Row],[Patente]],Pivot_Equipos!$A$1:$E$39,3,FALSE)</f>
        <v>#N/A</v>
      </c>
      <c r="F744" s="2" t="e">
        <f>+VLOOKUP(tbl_registro[[#This Row],[Tipo Equipo]],Pivot_Equipos!$C$1:$E$39,2,FALSE)</f>
        <v>#N/A</v>
      </c>
      <c r="J744" s="2">
        <f t="shared" si="12"/>
        <v>0</v>
      </c>
    </row>
    <row r="745" spans="1:10" x14ac:dyDescent="0.3">
      <c r="A745" s="2"/>
      <c r="C745" s="1"/>
      <c r="D745" s="1"/>
      <c r="E745" t="e">
        <f>+VLOOKUP(tbl_registro[[#This Row],[Patente]],Pivot_Equipos!$A$1:$E$39,3,FALSE)</f>
        <v>#N/A</v>
      </c>
      <c r="F745" s="2" t="e">
        <f>+VLOOKUP(tbl_registro[[#This Row],[Tipo Equipo]],Pivot_Equipos!$C$1:$E$39,2,FALSE)</f>
        <v>#N/A</v>
      </c>
      <c r="J745" s="2">
        <f t="shared" si="12"/>
        <v>0</v>
      </c>
    </row>
    <row r="746" spans="1:10" x14ac:dyDescent="0.3">
      <c r="A746" s="2"/>
      <c r="C746" s="1"/>
      <c r="D746" s="1"/>
      <c r="E746" t="e">
        <f>+VLOOKUP(tbl_registro[[#This Row],[Patente]],Pivot_Equipos!$A$1:$E$39,3,FALSE)</f>
        <v>#N/A</v>
      </c>
      <c r="F746" s="2" t="e">
        <f>+VLOOKUP(tbl_registro[[#This Row],[Tipo Equipo]],Pivot_Equipos!$C$1:$E$39,2,FALSE)</f>
        <v>#N/A</v>
      </c>
      <c r="J746" s="2">
        <f t="shared" si="12"/>
        <v>0</v>
      </c>
    </row>
    <row r="747" spans="1:10" x14ac:dyDescent="0.3">
      <c r="A747" s="2"/>
      <c r="C747" s="1"/>
      <c r="D747" s="1"/>
      <c r="E747" t="e">
        <f>+VLOOKUP(tbl_registro[[#This Row],[Patente]],Pivot_Equipos!$A$1:$E$39,3,FALSE)</f>
        <v>#N/A</v>
      </c>
      <c r="F747" s="2" t="e">
        <f>+VLOOKUP(tbl_registro[[#This Row],[Tipo Equipo]],Pivot_Equipos!$C$1:$E$39,2,FALSE)</f>
        <v>#N/A</v>
      </c>
      <c r="J747" s="2">
        <f t="shared" si="12"/>
        <v>0</v>
      </c>
    </row>
    <row r="748" spans="1:10" x14ac:dyDescent="0.3">
      <c r="A748" s="2"/>
      <c r="C748" s="1"/>
      <c r="D748" s="1"/>
      <c r="E748" t="e">
        <f>+VLOOKUP(tbl_registro[[#This Row],[Patente]],Pivot_Equipos!$A$1:$E$39,3,FALSE)</f>
        <v>#N/A</v>
      </c>
      <c r="F748" s="2" t="e">
        <f>+VLOOKUP(tbl_registro[[#This Row],[Tipo Equipo]],Pivot_Equipos!$C$1:$E$39,2,FALSE)</f>
        <v>#N/A</v>
      </c>
      <c r="J748" s="2">
        <f t="shared" si="12"/>
        <v>0</v>
      </c>
    </row>
    <row r="749" spans="1:10" x14ac:dyDescent="0.3">
      <c r="A749" s="2"/>
      <c r="C749" s="1"/>
      <c r="D749" s="1"/>
      <c r="E749" t="e">
        <f>+VLOOKUP(tbl_registro[[#This Row],[Patente]],Pivot_Equipos!$A$1:$E$39,3,FALSE)</f>
        <v>#N/A</v>
      </c>
      <c r="F749" s="2" t="e">
        <f>+VLOOKUP(tbl_registro[[#This Row],[Tipo Equipo]],Pivot_Equipos!$C$1:$E$39,2,FALSE)</f>
        <v>#N/A</v>
      </c>
      <c r="J749" s="2">
        <f t="shared" si="12"/>
        <v>0</v>
      </c>
    </row>
    <row r="750" spans="1:10" x14ac:dyDescent="0.3">
      <c r="A750" s="2"/>
      <c r="C750" s="1"/>
      <c r="D750" s="1"/>
      <c r="E750" t="e">
        <f>+VLOOKUP(tbl_registro[[#This Row],[Patente]],Pivot_Equipos!$A$1:$E$39,3,FALSE)</f>
        <v>#N/A</v>
      </c>
      <c r="F750" s="2" t="e">
        <f>+VLOOKUP(tbl_registro[[#This Row],[Tipo Equipo]],Pivot_Equipos!$C$1:$E$39,2,FALSE)</f>
        <v>#N/A</v>
      </c>
      <c r="J750" s="2">
        <f t="shared" si="12"/>
        <v>0</v>
      </c>
    </row>
    <row r="751" spans="1:10" x14ac:dyDescent="0.3">
      <c r="A751" s="2"/>
      <c r="C751" s="1"/>
      <c r="D751" s="1"/>
      <c r="E751" t="e">
        <f>+VLOOKUP(tbl_registro[[#This Row],[Patente]],Pivot_Equipos!$A$1:$E$39,3,FALSE)</f>
        <v>#N/A</v>
      </c>
      <c r="F751" s="2" t="e">
        <f>+VLOOKUP(tbl_registro[[#This Row],[Tipo Equipo]],Pivot_Equipos!$C$1:$E$39,2,FALSE)</f>
        <v>#N/A</v>
      </c>
      <c r="J751" s="2">
        <f t="shared" si="12"/>
        <v>0</v>
      </c>
    </row>
    <row r="752" spans="1:10" x14ac:dyDescent="0.3">
      <c r="A752" s="2"/>
      <c r="C752" s="1"/>
      <c r="D752" s="1"/>
      <c r="E752" t="e">
        <f>+VLOOKUP(tbl_registro[[#This Row],[Patente]],Pivot_Equipos!$A$1:$E$39,3,FALSE)</f>
        <v>#N/A</v>
      </c>
      <c r="F752" s="2" t="e">
        <f>+VLOOKUP(tbl_registro[[#This Row],[Tipo Equipo]],Pivot_Equipos!$C$1:$E$39,2,FALSE)</f>
        <v>#N/A</v>
      </c>
      <c r="J752" s="2">
        <f t="shared" si="12"/>
        <v>0</v>
      </c>
    </row>
    <row r="753" spans="1:10" x14ac:dyDescent="0.3">
      <c r="A753" s="2"/>
      <c r="C753" s="1"/>
      <c r="D753" s="1"/>
      <c r="E753" t="e">
        <f>+VLOOKUP(tbl_registro[[#This Row],[Patente]],Pivot_Equipos!$A$1:$E$39,3,FALSE)</f>
        <v>#N/A</v>
      </c>
      <c r="F753" s="2" t="e">
        <f>+VLOOKUP(tbl_registro[[#This Row],[Tipo Equipo]],Pivot_Equipos!$C$1:$E$39,2,FALSE)</f>
        <v>#N/A</v>
      </c>
      <c r="J753" s="2">
        <f t="shared" si="12"/>
        <v>0</v>
      </c>
    </row>
    <row r="754" spans="1:10" x14ac:dyDescent="0.3">
      <c r="A754" s="2"/>
      <c r="C754" s="1"/>
      <c r="D754" s="1"/>
      <c r="E754" t="e">
        <f>+VLOOKUP(tbl_registro[[#This Row],[Patente]],Pivot_Equipos!$A$1:$E$39,3,FALSE)</f>
        <v>#N/A</v>
      </c>
      <c r="F754" s="2" t="e">
        <f>+VLOOKUP(tbl_registro[[#This Row],[Tipo Equipo]],Pivot_Equipos!$C$1:$E$39,2,FALSE)</f>
        <v>#N/A</v>
      </c>
      <c r="J754" s="2">
        <f t="shared" si="12"/>
        <v>0</v>
      </c>
    </row>
    <row r="755" spans="1:10" x14ac:dyDescent="0.3">
      <c r="A755" s="2"/>
      <c r="C755" s="1"/>
      <c r="D755" s="1"/>
      <c r="E755" t="e">
        <f>+VLOOKUP(tbl_registro[[#This Row],[Patente]],Pivot_Equipos!$A$1:$E$39,3,FALSE)</f>
        <v>#N/A</v>
      </c>
      <c r="F755" s="2" t="e">
        <f>+VLOOKUP(tbl_registro[[#This Row],[Tipo Equipo]],Pivot_Equipos!$C$1:$E$39,2,FALSE)</f>
        <v>#N/A</v>
      </c>
      <c r="J755" s="2">
        <f t="shared" si="12"/>
        <v>0</v>
      </c>
    </row>
    <row r="756" spans="1:10" x14ac:dyDescent="0.3">
      <c r="A756" s="2"/>
      <c r="C756" s="1"/>
      <c r="D756" s="1"/>
      <c r="E756" t="e">
        <f>+VLOOKUP(tbl_registro[[#This Row],[Patente]],Pivot_Equipos!$A$1:$E$39,3,FALSE)</f>
        <v>#N/A</v>
      </c>
      <c r="F756" s="2" t="e">
        <f>+VLOOKUP(tbl_registro[[#This Row],[Tipo Equipo]],Pivot_Equipos!$C$1:$E$39,2,FALSE)</f>
        <v>#N/A</v>
      </c>
      <c r="J756" s="2">
        <f t="shared" si="12"/>
        <v>0</v>
      </c>
    </row>
    <row r="757" spans="1:10" x14ac:dyDescent="0.3">
      <c r="A757" s="2"/>
      <c r="C757" s="1"/>
      <c r="D757" s="1"/>
      <c r="E757" t="e">
        <f>+VLOOKUP(tbl_registro[[#This Row],[Patente]],Pivot_Equipos!$A$1:$E$39,3,FALSE)</f>
        <v>#N/A</v>
      </c>
      <c r="F757" s="2" t="e">
        <f>+VLOOKUP(tbl_registro[[#This Row],[Tipo Equipo]],Pivot_Equipos!$C$1:$E$39,2,FALSE)</f>
        <v>#N/A</v>
      </c>
      <c r="J757" s="2">
        <f t="shared" si="12"/>
        <v>0</v>
      </c>
    </row>
    <row r="758" spans="1:10" x14ac:dyDescent="0.3">
      <c r="A758" s="2"/>
      <c r="C758" s="1"/>
      <c r="D758" s="1"/>
      <c r="E758" t="e">
        <f>+VLOOKUP(tbl_registro[[#This Row],[Patente]],Pivot_Equipos!$A$1:$E$39,3,FALSE)</f>
        <v>#N/A</v>
      </c>
      <c r="F758" s="2" t="e">
        <f>+VLOOKUP(tbl_registro[[#This Row],[Tipo Equipo]],Pivot_Equipos!$C$1:$E$39,2,FALSE)</f>
        <v>#N/A</v>
      </c>
      <c r="J758" s="2">
        <f t="shared" si="12"/>
        <v>0</v>
      </c>
    </row>
    <row r="759" spans="1:10" x14ac:dyDescent="0.3">
      <c r="A759" s="2"/>
      <c r="C759" s="1"/>
      <c r="D759" s="1"/>
      <c r="E759" t="e">
        <f>+VLOOKUP(tbl_registro[[#This Row],[Patente]],Pivot_Equipos!$A$1:$E$39,3,FALSE)</f>
        <v>#N/A</v>
      </c>
      <c r="F759" s="2" t="e">
        <f>+VLOOKUP(tbl_registro[[#This Row],[Tipo Equipo]],Pivot_Equipos!$C$1:$E$39,2,FALSE)</f>
        <v>#N/A</v>
      </c>
      <c r="J759" s="2">
        <f t="shared" si="12"/>
        <v>0</v>
      </c>
    </row>
    <row r="760" spans="1:10" x14ac:dyDescent="0.3">
      <c r="A760" s="2"/>
      <c r="C760" s="1"/>
      <c r="D760" s="1"/>
      <c r="E760" t="e">
        <f>+VLOOKUP(tbl_registro[[#This Row],[Patente]],Pivot_Equipos!$A$1:$E$39,3,FALSE)</f>
        <v>#N/A</v>
      </c>
      <c r="F760" s="2" t="e">
        <f>+VLOOKUP(tbl_registro[[#This Row],[Tipo Equipo]],Pivot_Equipos!$C$1:$E$39,2,FALSE)</f>
        <v>#N/A</v>
      </c>
      <c r="J760" s="2">
        <f t="shared" si="12"/>
        <v>0</v>
      </c>
    </row>
    <row r="761" spans="1:10" x14ac:dyDescent="0.3">
      <c r="A761" s="2"/>
      <c r="C761" s="1"/>
      <c r="D761" s="1"/>
      <c r="E761" t="e">
        <f>+VLOOKUP(tbl_registro[[#This Row],[Patente]],Pivot_Equipos!$A$1:$E$39,3,FALSE)</f>
        <v>#N/A</v>
      </c>
      <c r="F761" s="2" t="e">
        <f>+VLOOKUP(tbl_registro[[#This Row],[Tipo Equipo]],Pivot_Equipos!$C$1:$E$39,2,FALSE)</f>
        <v>#N/A</v>
      </c>
      <c r="J761" s="2">
        <f t="shared" si="12"/>
        <v>0</v>
      </c>
    </row>
    <row r="762" spans="1:10" x14ac:dyDescent="0.3">
      <c r="A762" s="2"/>
      <c r="C762" s="1"/>
      <c r="D762" s="1"/>
      <c r="E762" t="e">
        <f>+VLOOKUP(tbl_registro[[#This Row],[Patente]],Pivot_Equipos!$A$1:$E$39,3,FALSE)</f>
        <v>#N/A</v>
      </c>
      <c r="F762" s="2" t="e">
        <f>+VLOOKUP(tbl_registro[[#This Row],[Tipo Equipo]],Pivot_Equipos!$C$1:$E$39,2,FALSE)</f>
        <v>#N/A</v>
      </c>
      <c r="J762" s="2">
        <f t="shared" si="12"/>
        <v>0</v>
      </c>
    </row>
    <row r="763" spans="1:10" x14ac:dyDescent="0.3">
      <c r="A763" s="2"/>
      <c r="C763" s="1"/>
      <c r="D763" s="1"/>
      <c r="E763" t="e">
        <f>+VLOOKUP(tbl_registro[[#This Row],[Patente]],Pivot_Equipos!$A$1:$E$39,3,FALSE)</f>
        <v>#N/A</v>
      </c>
      <c r="F763" s="2" t="e">
        <f>+VLOOKUP(tbl_registro[[#This Row],[Tipo Equipo]],Pivot_Equipos!$C$1:$E$39,2,FALSE)</f>
        <v>#N/A</v>
      </c>
      <c r="J763" s="2">
        <f t="shared" si="12"/>
        <v>0</v>
      </c>
    </row>
    <row r="764" spans="1:10" x14ac:dyDescent="0.3">
      <c r="A764" s="2"/>
      <c r="C764" s="1"/>
      <c r="D764" s="1"/>
      <c r="E764" t="e">
        <f>+VLOOKUP(tbl_registro[[#This Row],[Patente]],Pivot_Equipos!$A$1:$E$39,3,FALSE)</f>
        <v>#N/A</v>
      </c>
      <c r="F764" s="2" t="e">
        <f>+VLOOKUP(tbl_registro[[#This Row],[Tipo Equipo]],Pivot_Equipos!$C$1:$E$39,2,FALSE)</f>
        <v>#N/A</v>
      </c>
      <c r="J764" s="2">
        <f t="shared" si="12"/>
        <v>0</v>
      </c>
    </row>
    <row r="765" spans="1:10" x14ac:dyDescent="0.3">
      <c r="A765" s="2"/>
      <c r="C765" s="1"/>
      <c r="D765" s="1"/>
      <c r="E765" t="e">
        <f>+VLOOKUP(tbl_registro[[#This Row],[Patente]],Pivot_Equipos!$A$1:$E$39,3,FALSE)</f>
        <v>#N/A</v>
      </c>
      <c r="F765" s="2" t="e">
        <f>+VLOOKUP(tbl_registro[[#This Row],[Tipo Equipo]],Pivot_Equipos!$C$1:$E$39,2,FALSE)</f>
        <v>#N/A</v>
      </c>
      <c r="J765" s="2">
        <f t="shared" si="12"/>
        <v>0</v>
      </c>
    </row>
    <row r="766" spans="1:10" x14ac:dyDescent="0.3">
      <c r="A766" s="2"/>
      <c r="C766" s="1"/>
      <c r="D766" s="1"/>
      <c r="E766" t="e">
        <f>+VLOOKUP(tbl_registro[[#This Row],[Patente]],Pivot_Equipos!$A$1:$E$39,3,FALSE)</f>
        <v>#N/A</v>
      </c>
      <c r="F766" s="2" t="e">
        <f>+VLOOKUP(tbl_registro[[#This Row],[Tipo Equipo]],Pivot_Equipos!$C$1:$E$39,2,FALSE)</f>
        <v>#N/A</v>
      </c>
      <c r="J766" s="2">
        <f t="shared" si="12"/>
        <v>0</v>
      </c>
    </row>
    <row r="767" spans="1:10" x14ac:dyDescent="0.3">
      <c r="A767" s="2"/>
      <c r="C767" s="1"/>
      <c r="D767" s="1"/>
      <c r="E767" t="e">
        <f>+VLOOKUP(tbl_registro[[#This Row],[Patente]],Pivot_Equipos!$A$1:$E$39,3,FALSE)</f>
        <v>#N/A</v>
      </c>
      <c r="F767" s="2" t="e">
        <f>+VLOOKUP(tbl_registro[[#This Row],[Tipo Equipo]],Pivot_Equipos!$C$1:$E$39,2,FALSE)</f>
        <v>#N/A</v>
      </c>
      <c r="J767" s="2">
        <f t="shared" si="12"/>
        <v>0</v>
      </c>
    </row>
    <row r="768" spans="1:10" x14ac:dyDescent="0.3">
      <c r="A768" s="2"/>
      <c r="C768" s="1"/>
      <c r="D768" s="1"/>
      <c r="E768" t="e">
        <f>+VLOOKUP(tbl_registro[[#This Row],[Patente]],Pivot_Equipos!$A$1:$E$39,3,FALSE)</f>
        <v>#N/A</v>
      </c>
      <c r="F768" s="2" t="e">
        <f>+VLOOKUP(tbl_registro[[#This Row],[Tipo Equipo]],Pivot_Equipos!$C$1:$E$39,2,FALSE)</f>
        <v>#N/A</v>
      </c>
      <c r="J768" s="2">
        <f t="shared" si="12"/>
        <v>0</v>
      </c>
    </row>
    <row r="769" spans="1:10" x14ac:dyDescent="0.3">
      <c r="A769" s="2"/>
      <c r="C769" s="1"/>
      <c r="D769" s="1"/>
      <c r="E769" t="e">
        <f>+VLOOKUP(tbl_registro[[#This Row],[Patente]],Pivot_Equipos!$A$1:$E$39,3,FALSE)</f>
        <v>#N/A</v>
      </c>
      <c r="F769" s="2" t="e">
        <f>+VLOOKUP(tbl_registro[[#This Row],[Tipo Equipo]],Pivot_Equipos!$C$1:$E$39,2,FALSE)</f>
        <v>#N/A</v>
      </c>
      <c r="J769" s="2">
        <f t="shared" si="12"/>
        <v>0</v>
      </c>
    </row>
    <row r="770" spans="1:10" x14ac:dyDescent="0.3">
      <c r="A770" s="2"/>
      <c r="C770" s="1"/>
      <c r="D770" s="1"/>
      <c r="E770" t="e">
        <f>+VLOOKUP(tbl_registro[[#This Row],[Patente]],Pivot_Equipos!$A$1:$E$39,3,FALSE)</f>
        <v>#N/A</v>
      </c>
      <c r="F770" s="2" t="e">
        <f>+VLOOKUP(tbl_registro[[#This Row],[Tipo Equipo]],Pivot_Equipos!$C$1:$E$39,2,FALSE)</f>
        <v>#N/A</v>
      </c>
      <c r="J770" s="2">
        <f t="shared" ref="J770:J833" si="13">I770-H770</f>
        <v>0</v>
      </c>
    </row>
    <row r="771" spans="1:10" x14ac:dyDescent="0.3">
      <c r="A771" s="2"/>
      <c r="C771" s="1"/>
      <c r="D771" s="1"/>
      <c r="E771" t="e">
        <f>+VLOOKUP(tbl_registro[[#This Row],[Patente]],Pivot_Equipos!$A$1:$E$39,3,FALSE)</f>
        <v>#N/A</v>
      </c>
      <c r="F771" s="2" t="e">
        <f>+VLOOKUP(tbl_registro[[#This Row],[Tipo Equipo]],Pivot_Equipos!$C$1:$E$39,2,FALSE)</f>
        <v>#N/A</v>
      </c>
      <c r="J771" s="2">
        <f t="shared" si="13"/>
        <v>0</v>
      </c>
    </row>
    <row r="772" spans="1:10" x14ac:dyDescent="0.3">
      <c r="A772" s="2"/>
      <c r="C772" s="1"/>
      <c r="D772" s="1"/>
      <c r="E772" t="e">
        <f>+VLOOKUP(tbl_registro[[#This Row],[Patente]],Pivot_Equipos!$A$1:$E$39,3,FALSE)</f>
        <v>#N/A</v>
      </c>
      <c r="F772" s="2" t="e">
        <f>+VLOOKUP(tbl_registro[[#This Row],[Tipo Equipo]],Pivot_Equipos!$C$1:$E$39,2,FALSE)</f>
        <v>#N/A</v>
      </c>
      <c r="J772" s="2">
        <f t="shared" si="13"/>
        <v>0</v>
      </c>
    </row>
    <row r="773" spans="1:10" x14ac:dyDescent="0.3">
      <c r="A773" s="2"/>
      <c r="C773" s="1"/>
      <c r="D773" s="1"/>
      <c r="E773" t="e">
        <f>+VLOOKUP(tbl_registro[[#This Row],[Patente]],Pivot_Equipos!$A$1:$E$39,3,FALSE)</f>
        <v>#N/A</v>
      </c>
      <c r="F773" s="2" t="e">
        <f>+VLOOKUP(tbl_registro[[#This Row],[Tipo Equipo]],Pivot_Equipos!$C$1:$E$39,2,FALSE)</f>
        <v>#N/A</v>
      </c>
      <c r="J773" s="2">
        <f t="shared" si="13"/>
        <v>0</v>
      </c>
    </row>
    <row r="774" spans="1:10" x14ac:dyDescent="0.3">
      <c r="A774" s="2"/>
      <c r="C774" s="1"/>
      <c r="D774" s="1"/>
      <c r="E774" t="e">
        <f>+VLOOKUP(tbl_registro[[#This Row],[Patente]],Pivot_Equipos!$A$1:$E$39,3,FALSE)</f>
        <v>#N/A</v>
      </c>
      <c r="F774" s="2" t="e">
        <f>+VLOOKUP(tbl_registro[[#This Row],[Tipo Equipo]],Pivot_Equipos!$C$1:$E$39,2,FALSE)</f>
        <v>#N/A</v>
      </c>
      <c r="J774" s="2">
        <f t="shared" si="13"/>
        <v>0</v>
      </c>
    </row>
    <row r="775" spans="1:10" x14ac:dyDescent="0.3">
      <c r="A775" s="2"/>
      <c r="C775" s="1"/>
      <c r="D775" s="1"/>
      <c r="E775" t="e">
        <f>+VLOOKUP(tbl_registro[[#This Row],[Patente]],Pivot_Equipos!$A$1:$E$39,3,FALSE)</f>
        <v>#N/A</v>
      </c>
      <c r="F775" s="2" t="e">
        <f>+VLOOKUP(tbl_registro[[#This Row],[Tipo Equipo]],Pivot_Equipos!$C$1:$E$39,2,FALSE)</f>
        <v>#N/A</v>
      </c>
      <c r="J775" s="2">
        <f t="shared" si="13"/>
        <v>0</v>
      </c>
    </row>
    <row r="776" spans="1:10" x14ac:dyDescent="0.3">
      <c r="A776" s="2"/>
      <c r="C776" s="1"/>
      <c r="D776" s="1"/>
      <c r="E776" t="e">
        <f>+VLOOKUP(tbl_registro[[#This Row],[Patente]],Pivot_Equipos!$A$1:$E$39,3,FALSE)</f>
        <v>#N/A</v>
      </c>
      <c r="F776" s="2" t="e">
        <f>+VLOOKUP(tbl_registro[[#This Row],[Tipo Equipo]],Pivot_Equipos!$C$1:$E$39,2,FALSE)</f>
        <v>#N/A</v>
      </c>
      <c r="J776" s="2">
        <f t="shared" si="13"/>
        <v>0</v>
      </c>
    </row>
    <row r="777" spans="1:10" x14ac:dyDescent="0.3">
      <c r="A777" s="2"/>
      <c r="C777" s="1"/>
      <c r="D777" s="1"/>
      <c r="E777" t="e">
        <f>+VLOOKUP(tbl_registro[[#This Row],[Patente]],Pivot_Equipos!$A$1:$E$39,3,FALSE)</f>
        <v>#N/A</v>
      </c>
      <c r="F777" s="2" t="e">
        <f>+VLOOKUP(tbl_registro[[#This Row],[Tipo Equipo]],Pivot_Equipos!$C$1:$E$39,2,FALSE)</f>
        <v>#N/A</v>
      </c>
      <c r="J777" s="2">
        <f t="shared" si="13"/>
        <v>0</v>
      </c>
    </row>
    <row r="778" spans="1:10" x14ac:dyDescent="0.3">
      <c r="A778" s="2"/>
      <c r="C778" s="1"/>
      <c r="D778" s="1"/>
      <c r="E778" t="e">
        <f>+VLOOKUP(tbl_registro[[#This Row],[Patente]],Pivot_Equipos!$A$1:$E$39,3,FALSE)</f>
        <v>#N/A</v>
      </c>
      <c r="F778" s="2" t="e">
        <f>+VLOOKUP(tbl_registro[[#This Row],[Tipo Equipo]],Pivot_Equipos!$C$1:$E$39,2,FALSE)</f>
        <v>#N/A</v>
      </c>
      <c r="J778" s="2">
        <f t="shared" si="13"/>
        <v>0</v>
      </c>
    </row>
    <row r="779" spans="1:10" x14ac:dyDescent="0.3">
      <c r="A779" s="2"/>
      <c r="C779" s="1"/>
      <c r="D779" s="1"/>
      <c r="E779" t="e">
        <f>+VLOOKUP(tbl_registro[[#This Row],[Patente]],Pivot_Equipos!$A$1:$E$39,3,FALSE)</f>
        <v>#N/A</v>
      </c>
      <c r="F779" s="2" t="e">
        <f>+VLOOKUP(tbl_registro[[#This Row],[Tipo Equipo]],Pivot_Equipos!$C$1:$E$39,2,FALSE)</f>
        <v>#N/A</v>
      </c>
      <c r="J779" s="2">
        <f t="shared" si="13"/>
        <v>0</v>
      </c>
    </row>
    <row r="780" spans="1:10" x14ac:dyDescent="0.3">
      <c r="A780" s="2"/>
      <c r="C780" s="1"/>
      <c r="D780" s="1"/>
      <c r="E780" t="e">
        <f>+VLOOKUP(tbl_registro[[#This Row],[Patente]],Pivot_Equipos!$A$1:$E$39,3,FALSE)</f>
        <v>#N/A</v>
      </c>
      <c r="F780" s="2" t="e">
        <f>+VLOOKUP(tbl_registro[[#This Row],[Tipo Equipo]],Pivot_Equipos!$C$1:$E$39,2,FALSE)</f>
        <v>#N/A</v>
      </c>
      <c r="J780" s="2">
        <f t="shared" si="13"/>
        <v>0</v>
      </c>
    </row>
    <row r="781" spans="1:10" x14ac:dyDescent="0.3">
      <c r="A781" s="2"/>
      <c r="C781" s="1"/>
      <c r="D781" s="1"/>
      <c r="E781" t="e">
        <f>+VLOOKUP(tbl_registro[[#This Row],[Patente]],Pivot_Equipos!$A$1:$E$39,3,FALSE)</f>
        <v>#N/A</v>
      </c>
      <c r="F781" s="2" t="e">
        <f>+VLOOKUP(tbl_registro[[#This Row],[Tipo Equipo]],Pivot_Equipos!$C$1:$E$39,2,FALSE)</f>
        <v>#N/A</v>
      </c>
      <c r="J781" s="2">
        <f t="shared" si="13"/>
        <v>0</v>
      </c>
    </row>
    <row r="782" spans="1:10" x14ac:dyDescent="0.3">
      <c r="A782" s="2"/>
      <c r="C782" s="1"/>
      <c r="D782" s="1"/>
      <c r="E782" t="e">
        <f>+VLOOKUP(tbl_registro[[#This Row],[Patente]],Pivot_Equipos!$A$1:$E$39,3,FALSE)</f>
        <v>#N/A</v>
      </c>
      <c r="F782" s="2" t="e">
        <f>+VLOOKUP(tbl_registro[[#This Row],[Tipo Equipo]],Pivot_Equipos!$C$1:$E$39,2,FALSE)</f>
        <v>#N/A</v>
      </c>
      <c r="J782" s="2">
        <f t="shared" si="13"/>
        <v>0</v>
      </c>
    </row>
    <row r="783" spans="1:10" x14ac:dyDescent="0.3">
      <c r="A783" s="2"/>
      <c r="C783" s="1"/>
      <c r="D783" s="1"/>
      <c r="E783" t="e">
        <f>+VLOOKUP(tbl_registro[[#This Row],[Patente]],Pivot_Equipos!$A$1:$E$39,3,FALSE)</f>
        <v>#N/A</v>
      </c>
      <c r="F783" s="2" t="e">
        <f>+VLOOKUP(tbl_registro[[#This Row],[Tipo Equipo]],Pivot_Equipos!$C$1:$E$39,2,FALSE)</f>
        <v>#N/A</v>
      </c>
      <c r="J783" s="2">
        <f t="shared" si="13"/>
        <v>0</v>
      </c>
    </row>
    <row r="784" spans="1:10" x14ac:dyDescent="0.3">
      <c r="A784" s="2"/>
      <c r="C784" s="1"/>
      <c r="D784" s="1"/>
      <c r="E784" t="e">
        <f>+VLOOKUP(tbl_registro[[#This Row],[Patente]],Pivot_Equipos!$A$1:$E$39,3,FALSE)</f>
        <v>#N/A</v>
      </c>
      <c r="F784" s="2" t="e">
        <f>+VLOOKUP(tbl_registro[[#This Row],[Tipo Equipo]],Pivot_Equipos!$C$1:$E$39,2,FALSE)</f>
        <v>#N/A</v>
      </c>
      <c r="J784" s="2">
        <f t="shared" si="13"/>
        <v>0</v>
      </c>
    </row>
    <row r="785" spans="1:10" x14ac:dyDescent="0.3">
      <c r="A785" s="2"/>
      <c r="C785" s="1"/>
      <c r="D785" s="1"/>
      <c r="E785" t="e">
        <f>+VLOOKUP(tbl_registro[[#This Row],[Patente]],Pivot_Equipos!$A$1:$E$39,3,FALSE)</f>
        <v>#N/A</v>
      </c>
      <c r="F785" s="2" t="e">
        <f>+VLOOKUP(tbl_registro[[#This Row],[Tipo Equipo]],Pivot_Equipos!$C$1:$E$39,2,FALSE)</f>
        <v>#N/A</v>
      </c>
      <c r="J785" s="2">
        <f t="shared" si="13"/>
        <v>0</v>
      </c>
    </row>
    <row r="786" spans="1:10" x14ac:dyDescent="0.3">
      <c r="A786" s="2"/>
      <c r="C786" s="1"/>
      <c r="D786" s="1"/>
      <c r="E786" t="e">
        <f>+VLOOKUP(tbl_registro[[#This Row],[Patente]],Pivot_Equipos!$A$1:$E$39,3,FALSE)</f>
        <v>#N/A</v>
      </c>
      <c r="F786" s="2" t="e">
        <f>+VLOOKUP(tbl_registro[[#This Row],[Tipo Equipo]],Pivot_Equipos!$C$1:$E$39,2,FALSE)</f>
        <v>#N/A</v>
      </c>
      <c r="J786" s="2">
        <f t="shared" si="13"/>
        <v>0</v>
      </c>
    </row>
    <row r="787" spans="1:10" x14ac:dyDescent="0.3">
      <c r="A787" s="2"/>
      <c r="C787" s="1"/>
      <c r="D787" s="1"/>
      <c r="E787" t="e">
        <f>+VLOOKUP(tbl_registro[[#This Row],[Patente]],Pivot_Equipos!$A$1:$E$39,3,FALSE)</f>
        <v>#N/A</v>
      </c>
      <c r="F787" s="2" t="e">
        <f>+VLOOKUP(tbl_registro[[#This Row],[Tipo Equipo]],Pivot_Equipos!$C$1:$E$39,2,FALSE)</f>
        <v>#N/A</v>
      </c>
      <c r="J787" s="2">
        <f t="shared" si="13"/>
        <v>0</v>
      </c>
    </row>
    <row r="788" spans="1:10" x14ac:dyDescent="0.3">
      <c r="A788" s="2"/>
      <c r="C788" s="1"/>
      <c r="D788" s="1"/>
      <c r="E788" t="e">
        <f>+VLOOKUP(tbl_registro[[#This Row],[Patente]],Pivot_Equipos!$A$1:$E$39,3,FALSE)</f>
        <v>#N/A</v>
      </c>
      <c r="F788" s="2" t="e">
        <f>+VLOOKUP(tbl_registro[[#This Row],[Tipo Equipo]],Pivot_Equipos!$C$1:$E$39,2,FALSE)</f>
        <v>#N/A</v>
      </c>
      <c r="J788" s="2">
        <f t="shared" si="13"/>
        <v>0</v>
      </c>
    </row>
    <row r="789" spans="1:10" x14ac:dyDescent="0.3">
      <c r="A789" s="2"/>
      <c r="C789" s="1"/>
      <c r="D789" s="1"/>
      <c r="E789" t="e">
        <f>+VLOOKUP(tbl_registro[[#This Row],[Patente]],Pivot_Equipos!$A$1:$E$39,3,FALSE)</f>
        <v>#N/A</v>
      </c>
      <c r="F789" s="2" t="e">
        <f>+VLOOKUP(tbl_registro[[#This Row],[Tipo Equipo]],Pivot_Equipos!$C$1:$E$39,2,FALSE)</f>
        <v>#N/A</v>
      </c>
      <c r="J789" s="2">
        <f t="shared" si="13"/>
        <v>0</v>
      </c>
    </row>
    <row r="790" spans="1:10" x14ac:dyDescent="0.3">
      <c r="A790" s="2"/>
      <c r="C790" s="1"/>
      <c r="D790" s="1"/>
      <c r="E790" t="e">
        <f>+VLOOKUP(tbl_registro[[#This Row],[Patente]],Pivot_Equipos!$A$1:$E$39,3,FALSE)</f>
        <v>#N/A</v>
      </c>
      <c r="F790" s="2" t="e">
        <f>+VLOOKUP(tbl_registro[[#This Row],[Tipo Equipo]],Pivot_Equipos!$C$1:$E$39,2,FALSE)</f>
        <v>#N/A</v>
      </c>
      <c r="J790" s="2">
        <f t="shared" si="13"/>
        <v>0</v>
      </c>
    </row>
    <row r="791" spans="1:10" x14ac:dyDescent="0.3">
      <c r="A791" s="2"/>
      <c r="C791" s="1"/>
      <c r="D791" s="1"/>
      <c r="E791" t="e">
        <f>+VLOOKUP(tbl_registro[[#This Row],[Patente]],Pivot_Equipos!$A$1:$E$39,3,FALSE)</f>
        <v>#N/A</v>
      </c>
      <c r="F791" s="2" t="e">
        <f>+VLOOKUP(tbl_registro[[#This Row],[Tipo Equipo]],Pivot_Equipos!$C$1:$E$39,2,FALSE)</f>
        <v>#N/A</v>
      </c>
      <c r="J791" s="2">
        <f t="shared" si="13"/>
        <v>0</v>
      </c>
    </row>
    <row r="792" spans="1:10" x14ac:dyDescent="0.3">
      <c r="A792" s="2"/>
      <c r="C792" s="1"/>
      <c r="D792" s="1"/>
      <c r="E792" t="e">
        <f>+VLOOKUP(tbl_registro[[#This Row],[Patente]],Pivot_Equipos!$A$1:$E$39,3,FALSE)</f>
        <v>#N/A</v>
      </c>
      <c r="F792" s="2" t="e">
        <f>+VLOOKUP(tbl_registro[[#This Row],[Tipo Equipo]],Pivot_Equipos!$C$1:$E$39,2,FALSE)</f>
        <v>#N/A</v>
      </c>
      <c r="J792" s="2">
        <f t="shared" si="13"/>
        <v>0</v>
      </c>
    </row>
    <row r="793" spans="1:10" x14ac:dyDescent="0.3">
      <c r="A793" s="2"/>
      <c r="C793" s="1"/>
      <c r="D793" s="1"/>
      <c r="E793" t="e">
        <f>+VLOOKUP(tbl_registro[[#This Row],[Patente]],Pivot_Equipos!$A$1:$E$39,3,FALSE)</f>
        <v>#N/A</v>
      </c>
      <c r="F793" s="2" t="e">
        <f>+VLOOKUP(tbl_registro[[#This Row],[Tipo Equipo]],Pivot_Equipos!$C$1:$E$39,2,FALSE)</f>
        <v>#N/A</v>
      </c>
      <c r="J793" s="2">
        <f t="shared" si="13"/>
        <v>0</v>
      </c>
    </row>
    <row r="794" spans="1:10" x14ac:dyDescent="0.3">
      <c r="A794" s="2"/>
      <c r="C794" s="1"/>
      <c r="D794" s="1"/>
      <c r="E794" t="e">
        <f>+VLOOKUP(tbl_registro[[#This Row],[Patente]],Pivot_Equipos!$A$1:$E$39,3,FALSE)</f>
        <v>#N/A</v>
      </c>
      <c r="F794" s="2" t="e">
        <f>+VLOOKUP(tbl_registro[[#This Row],[Tipo Equipo]],Pivot_Equipos!$C$1:$E$39,2,FALSE)</f>
        <v>#N/A</v>
      </c>
      <c r="J794" s="2">
        <f t="shared" si="13"/>
        <v>0</v>
      </c>
    </row>
    <row r="795" spans="1:10" x14ac:dyDescent="0.3">
      <c r="A795" s="2"/>
      <c r="C795" s="1"/>
      <c r="D795" s="1"/>
      <c r="E795" t="e">
        <f>+VLOOKUP(tbl_registro[[#This Row],[Patente]],Pivot_Equipos!$A$1:$E$39,3,FALSE)</f>
        <v>#N/A</v>
      </c>
      <c r="F795" s="2" t="e">
        <f>+VLOOKUP(tbl_registro[[#This Row],[Tipo Equipo]],Pivot_Equipos!$C$1:$E$39,2,FALSE)</f>
        <v>#N/A</v>
      </c>
      <c r="J795" s="2">
        <f t="shared" si="13"/>
        <v>0</v>
      </c>
    </row>
    <row r="796" spans="1:10" x14ac:dyDescent="0.3">
      <c r="A796" s="2"/>
      <c r="C796" s="1"/>
      <c r="D796" s="1"/>
      <c r="E796" t="e">
        <f>+VLOOKUP(tbl_registro[[#This Row],[Patente]],Pivot_Equipos!$A$1:$E$39,3,FALSE)</f>
        <v>#N/A</v>
      </c>
      <c r="F796" s="2" t="e">
        <f>+VLOOKUP(tbl_registro[[#This Row],[Tipo Equipo]],Pivot_Equipos!$C$1:$E$39,2,FALSE)</f>
        <v>#N/A</v>
      </c>
      <c r="J796" s="2">
        <f t="shared" si="13"/>
        <v>0</v>
      </c>
    </row>
    <row r="797" spans="1:10" x14ac:dyDescent="0.3">
      <c r="A797" s="2"/>
      <c r="C797" s="1"/>
      <c r="D797" s="1"/>
      <c r="E797" t="e">
        <f>+VLOOKUP(tbl_registro[[#This Row],[Patente]],Pivot_Equipos!$A$1:$E$39,3,FALSE)</f>
        <v>#N/A</v>
      </c>
      <c r="F797" s="2" t="e">
        <f>+VLOOKUP(tbl_registro[[#This Row],[Tipo Equipo]],Pivot_Equipos!$C$1:$E$39,2,FALSE)</f>
        <v>#N/A</v>
      </c>
      <c r="J797" s="2">
        <f t="shared" si="13"/>
        <v>0</v>
      </c>
    </row>
    <row r="798" spans="1:10" x14ac:dyDescent="0.3">
      <c r="A798" s="2"/>
      <c r="C798" s="1"/>
      <c r="D798" s="1"/>
      <c r="E798" t="e">
        <f>+VLOOKUP(tbl_registro[[#This Row],[Patente]],Pivot_Equipos!$A$1:$E$39,3,FALSE)</f>
        <v>#N/A</v>
      </c>
      <c r="F798" s="2" t="e">
        <f>+VLOOKUP(tbl_registro[[#This Row],[Tipo Equipo]],Pivot_Equipos!$C$1:$E$39,2,FALSE)</f>
        <v>#N/A</v>
      </c>
      <c r="J798" s="2">
        <f t="shared" si="13"/>
        <v>0</v>
      </c>
    </row>
    <row r="799" spans="1:10" x14ac:dyDescent="0.3">
      <c r="A799" s="2"/>
      <c r="C799" s="1"/>
      <c r="D799" s="1"/>
      <c r="E799" t="e">
        <f>+VLOOKUP(tbl_registro[[#This Row],[Patente]],Pivot_Equipos!$A$1:$E$39,3,FALSE)</f>
        <v>#N/A</v>
      </c>
      <c r="F799" s="2" t="e">
        <f>+VLOOKUP(tbl_registro[[#This Row],[Tipo Equipo]],Pivot_Equipos!$C$1:$E$39,2,FALSE)</f>
        <v>#N/A</v>
      </c>
      <c r="J799" s="2">
        <f t="shared" si="13"/>
        <v>0</v>
      </c>
    </row>
    <row r="800" spans="1:10" x14ac:dyDescent="0.3">
      <c r="A800" s="2"/>
      <c r="C800" s="1"/>
      <c r="D800" s="1"/>
      <c r="E800" t="e">
        <f>+VLOOKUP(tbl_registro[[#This Row],[Patente]],Pivot_Equipos!$A$1:$E$39,3,FALSE)</f>
        <v>#N/A</v>
      </c>
      <c r="F800" s="2" t="e">
        <f>+VLOOKUP(tbl_registro[[#This Row],[Tipo Equipo]],Pivot_Equipos!$C$1:$E$39,2,FALSE)</f>
        <v>#N/A</v>
      </c>
      <c r="J800" s="2">
        <f t="shared" si="13"/>
        <v>0</v>
      </c>
    </row>
    <row r="801" spans="1:10" x14ac:dyDescent="0.3">
      <c r="A801" s="2"/>
      <c r="C801" s="1"/>
      <c r="D801" s="1"/>
      <c r="E801" t="e">
        <f>+VLOOKUP(tbl_registro[[#This Row],[Patente]],Pivot_Equipos!$A$1:$E$39,3,FALSE)</f>
        <v>#N/A</v>
      </c>
      <c r="F801" s="2" t="e">
        <f>+VLOOKUP(tbl_registro[[#This Row],[Tipo Equipo]],Pivot_Equipos!$C$1:$E$39,2,FALSE)</f>
        <v>#N/A</v>
      </c>
      <c r="J801" s="2">
        <f t="shared" si="13"/>
        <v>0</v>
      </c>
    </row>
    <row r="802" spans="1:10" x14ac:dyDescent="0.3">
      <c r="A802" s="2"/>
      <c r="C802" s="1"/>
      <c r="D802" s="1"/>
      <c r="E802" t="e">
        <f>+VLOOKUP(tbl_registro[[#This Row],[Patente]],Pivot_Equipos!$A$1:$E$39,3,FALSE)</f>
        <v>#N/A</v>
      </c>
      <c r="F802" s="2" t="e">
        <f>+VLOOKUP(tbl_registro[[#This Row],[Tipo Equipo]],Pivot_Equipos!$C$1:$E$39,2,FALSE)</f>
        <v>#N/A</v>
      </c>
      <c r="J802" s="2">
        <f t="shared" si="13"/>
        <v>0</v>
      </c>
    </row>
    <row r="803" spans="1:10" x14ac:dyDescent="0.3">
      <c r="A803" s="2"/>
      <c r="C803" s="1"/>
      <c r="D803" s="1"/>
      <c r="E803" t="e">
        <f>+VLOOKUP(tbl_registro[[#This Row],[Patente]],Pivot_Equipos!$A$1:$E$39,3,FALSE)</f>
        <v>#N/A</v>
      </c>
      <c r="F803" s="2" t="e">
        <f>+VLOOKUP(tbl_registro[[#This Row],[Tipo Equipo]],Pivot_Equipos!$C$1:$E$39,2,FALSE)</f>
        <v>#N/A</v>
      </c>
      <c r="J803" s="2">
        <f t="shared" si="13"/>
        <v>0</v>
      </c>
    </row>
    <row r="804" spans="1:10" x14ac:dyDescent="0.3">
      <c r="A804" s="2"/>
      <c r="C804" s="1"/>
      <c r="D804" s="1"/>
      <c r="E804" t="e">
        <f>+VLOOKUP(tbl_registro[[#This Row],[Patente]],Pivot_Equipos!$A$1:$E$39,3,FALSE)</f>
        <v>#N/A</v>
      </c>
      <c r="F804" s="2" t="e">
        <f>+VLOOKUP(tbl_registro[[#This Row],[Tipo Equipo]],Pivot_Equipos!$C$1:$E$39,2,FALSE)</f>
        <v>#N/A</v>
      </c>
      <c r="J804" s="2">
        <f t="shared" si="13"/>
        <v>0</v>
      </c>
    </row>
    <row r="805" spans="1:10" x14ac:dyDescent="0.3">
      <c r="A805" s="2"/>
      <c r="C805" s="1"/>
      <c r="D805" s="1"/>
      <c r="E805" t="e">
        <f>+VLOOKUP(tbl_registro[[#This Row],[Patente]],Pivot_Equipos!$A$1:$E$39,3,FALSE)</f>
        <v>#N/A</v>
      </c>
      <c r="F805" s="2" t="e">
        <f>+VLOOKUP(tbl_registro[[#This Row],[Tipo Equipo]],Pivot_Equipos!$C$1:$E$39,2,FALSE)</f>
        <v>#N/A</v>
      </c>
      <c r="J805" s="2">
        <f t="shared" si="13"/>
        <v>0</v>
      </c>
    </row>
    <row r="806" spans="1:10" x14ac:dyDescent="0.3">
      <c r="A806" s="2"/>
      <c r="C806" s="1"/>
      <c r="D806" s="1"/>
      <c r="E806" t="e">
        <f>+VLOOKUP(tbl_registro[[#This Row],[Patente]],Pivot_Equipos!$A$1:$E$39,3,FALSE)</f>
        <v>#N/A</v>
      </c>
      <c r="F806" s="2" t="e">
        <f>+VLOOKUP(tbl_registro[[#This Row],[Tipo Equipo]],Pivot_Equipos!$C$1:$E$39,2,FALSE)</f>
        <v>#N/A</v>
      </c>
      <c r="J806" s="2">
        <f t="shared" si="13"/>
        <v>0</v>
      </c>
    </row>
    <row r="807" spans="1:10" x14ac:dyDescent="0.3">
      <c r="A807" s="2"/>
      <c r="C807" s="1"/>
      <c r="D807" s="1"/>
      <c r="E807" t="e">
        <f>+VLOOKUP(tbl_registro[[#This Row],[Patente]],Pivot_Equipos!$A$1:$E$39,3,FALSE)</f>
        <v>#N/A</v>
      </c>
      <c r="F807" s="2" t="e">
        <f>+VLOOKUP(tbl_registro[[#This Row],[Tipo Equipo]],Pivot_Equipos!$C$1:$E$39,2,FALSE)</f>
        <v>#N/A</v>
      </c>
      <c r="J807" s="2">
        <f t="shared" si="13"/>
        <v>0</v>
      </c>
    </row>
    <row r="808" spans="1:10" x14ac:dyDescent="0.3">
      <c r="A808" s="2"/>
      <c r="C808" s="1"/>
      <c r="D808" s="1"/>
      <c r="E808" t="e">
        <f>+VLOOKUP(tbl_registro[[#This Row],[Patente]],Pivot_Equipos!$A$1:$E$39,3,FALSE)</f>
        <v>#N/A</v>
      </c>
      <c r="F808" s="2" t="e">
        <f>+VLOOKUP(tbl_registro[[#This Row],[Tipo Equipo]],Pivot_Equipos!$C$1:$E$39,2,FALSE)</f>
        <v>#N/A</v>
      </c>
      <c r="J808" s="2">
        <f t="shared" si="13"/>
        <v>0</v>
      </c>
    </row>
    <row r="809" spans="1:10" x14ac:dyDescent="0.3">
      <c r="A809" s="2"/>
      <c r="C809" s="1"/>
      <c r="D809" s="1"/>
      <c r="E809" t="e">
        <f>+VLOOKUP(tbl_registro[[#This Row],[Patente]],Pivot_Equipos!$A$1:$E$39,3,FALSE)</f>
        <v>#N/A</v>
      </c>
      <c r="F809" s="2" t="e">
        <f>+VLOOKUP(tbl_registro[[#This Row],[Tipo Equipo]],Pivot_Equipos!$C$1:$E$39,2,FALSE)</f>
        <v>#N/A</v>
      </c>
      <c r="J809" s="2">
        <f t="shared" si="13"/>
        <v>0</v>
      </c>
    </row>
    <row r="810" spans="1:10" x14ac:dyDescent="0.3">
      <c r="A810" s="2"/>
      <c r="C810" s="1"/>
      <c r="D810" s="1"/>
      <c r="E810" t="e">
        <f>+VLOOKUP(tbl_registro[[#This Row],[Patente]],Pivot_Equipos!$A$1:$E$39,3,FALSE)</f>
        <v>#N/A</v>
      </c>
      <c r="F810" s="2" t="e">
        <f>+VLOOKUP(tbl_registro[[#This Row],[Tipo Equipo]],Pivot_Equipos!$C$1:$E$39,2,FALSE)</f>
        <v>#N/A</v>
      </c>
      <c r="J810" s="2">
        <f t="shared" si="13"/>
        <v>0</v>
      </c>
    </row>
    <row r="811" spans="1:10" x14ac:dyDescent="0.3">
      <c r="A811" s="2"/>
      <c r="C811" s="1"/>
      <c r="D811" s="1"/>
      <c r="E811" t="e">
        <f>+VLOOKUP(tbl_registro[[#This Row],[Patente]],Pivot_Equipos!$A$1:$E$39,3,FALSE)</f>
        <v>#N/A</v>
      </c>
      <c r="F811" s="2" t="e">
        <f>+VLOOKUP(tbl_registro[[#This Row],[Tipo Equipo]],Pivot_Equipos!$C$1:$E$39,2,FALSE)</f>
        <v>#N/A</v>
      </c>
      <c r="J811" s="2">
        <f t="shared" si="13"/>
        <v>0</v>
      </c>
    </row>
    <row r="812" spans="1:10" x14ac:dyDescent="0.3">
      <c r="A812" s="2"/>
      <c r="C812" s="1"/>
      <c r="D812" s="1"/>
      <c r="E812" t="e">
        <f>+VLOOKUP(tbl_registro[[#This Row],[Patente]],Pivot_Equipos!$A$1:$E$39,3,FALSE)</f>
        <v>#N/A</v>
      </c>
      <c r="F812" s="2" t="e">
        <f>+VLOOKUP(tbl_registro[[#This Row],[Tipo Equipo]],Pivot_Equipos!$C$1:$E$39,2,FALSE)</f>
        <v>#N/A</v>
      </c>
      <c r="J812" s="2">
        <f t="shared" si="13"/>
        <v>0</v>
      </c>
    </row>
    <row r="813" spans="1:10" x14ac:dyDescent="0.3">
      <c r="A813" s="2"/>
      <c r="C813" s="1"/>
      <c r="D813" s="1"/>
      <c r="E813" t="e">
        <f>+VLOOKUP(tbl_registro[[#This Row],[Patente]],Pivot_Equipos!$A$1:$E$39,3,FALSE)</f>
        <v>#N/A</v>
      </c>
      <c r="F813" s="2" t="e">
        <f>+VLOOKUP(tbl_registro[[#This Row],[Tipo Equipo]],Pivot_Equipos!$C$1:$E$39,2,FALSE)</f>
        <v>#N/A</v>
      </c>
      <c r="J813" s="2">
        <f t="shared" si="13"/>
        <v>0</v>
      </c>
    </row>
    <row r="814" spans="1:10" x14ac:dyDescent="0.3">
      <c r="A814" s="2"/>
      <c r="C814" s="1"/>
      <c r="D814" s="1"/>
      <c r="E814" t="e">
        <f>+VLOOKUP(tbl_registro[[#This Row],[Patente]],Pivot_Equipos!$A$1:$E$39,3,FALSE)</f>
        <v>#N/A</v>
      </c>
      <c r="F814" s="2" t="e">
        <f>+VLOOKUP(tbl_registro[[#This Row],[Tipo Equipo]],Pivot_Equipos!$C$1:$E$39,2,FALSE)</f>
        <v>#N/A</v>
      </c>
      <c r="J814" s="2">
        <f t="shared" si="13"/>
        <v>0</v>
      </c>
    </row>
    <row r="815" spans="1:10" x14ac:dyDescent="0.3">
      <c r="A815" s="2"/>
      <c r="C815" s="1"/>
      <c r="D815" s="1"/>
      <c r="E815" t="e">
        <f>+VLOOKUP(tbl_registro[[#This Row],[Patente]],Pivot_Equipos!$A$1:$E$39,3,FALSE)</f>
        <v>#N/A</v>
      </c>
      <c r="F815" s="2" t="e">
        <f>+VLOOKUP(tbl_registro[[#This Row],[Tipo Equipo]],Pivot_Equipos!$C$1:$E$39,2,FALSE)</f>
        <v>#N/A</v>
      </c>
      <c r="J815" s="2">
        <f t="shared" si="13"/>
        <v>0</v>
      </c>
    </row>
    <row r="816" spans="1:10" x14ac:dyDescent="0.3">
      <c r="A816" s="2"/>
      <c r="C816" s="1"/>
      <c r="D816" s="1"/>
      <c r="E816" t="e">
        <f>+VLOOKUP(tbl_registro[[#This Row],[Patente]],Pivot_Equipos!$A$1:$E$39,3,FALSE)</f>
        <v>#N/A</v>
      </c>
      <c r="F816" s="2" t="e">
        <f>+VLOOKUP(tbl_registro[[#This Row],[Tipo Equipo]],Pivot_Equipos!$C$1:$E$39,2,FALSE)</f>
        <v>#N/A</v>
      </c>
      <c r="J816" s="2">
        <f t="shared" si="13"/>
        <v>0</v>
      </c>
    </row>
    <row r="817" spans="1:10" x14ac:dyDescent="0.3">
      <c r="A817" s="2"/>
      <c r="C817" s="1"/>
      <c r="D817" s="1"/>
      <c r="E817" t="e">
        <f>+VLOOKUP(tbl_registro[[#This Row],[Patente]],Pivot_Equipos!$A$1:$E$39,3,FALSE)</f>
        <v>#N/A</v>
      </c>
      <c r="F817" s="2" t="e">
        <f>+VLOOKUP(tbl_registro[[#This Row],[Tipo Equipo]],Pivot_Equipos!$C$1:$E$39,2,FALSE)</f>
        <v>#N/A</v>
      </c>
      <c r="J817" s="2">
        <f t="shared" si="13"/>
        <v>0</v>
      </c>
    </row>
    <row r="818" spans="1:10" x14ac:dyDescent="0.3">
      <c r="A818" s="2"/>
      <c r="C818" s="1"/>
      <c r="D818" s="1"/>
      <c r="E818" t="e">
        <f>+VLOOKUP(tbl_registro[[#This Row],[Patente]],Pivot_Equipos!$A$1:$E$39,3,FALSE)</f>
        <v>#N/A</v>
      </c>
      <c r="F818" s="2" t="e">
        <f>+VLOOKUP(tbl_registro[[#This Row],[Tipo Equipo]],Pivot_Equipos!$C$1:$E$39,2,FALSE)</f>
        <v>#N/A</v>
      </c>
      <c r="J818" s="2">
        <f t="shared" si="13"/>
        <v>0</v>
      </c>
    </row>
    <row r="819" spans="1:10" x14ac:dyDescent="0.3">
      <c r="A819" s="2"/>
      <c r="C819" s="1"/>
      <c r="D819" s="1"/>
      <c r="E819" t="e">
        <f>+VLOOKUP(tbl_registro[[#This Row],[Patente]],Pivot_Equipos!$A$1:$E$39,3,FALSE)</f>
        <v>#N/A</v>
      </c>
      <c r="F819" s="2" t="e">
        <f>+VLOOKUP(tbl_registro[[#This Row],[Tipo Equipo]],Pivot_Equipos!$C$1:$E$39,2,FALSE)</f>
        <v>#N/A</v>
      </c>
      <c r="J819" s="2">
        <f t="shared" si="13"/>
        <v>0</v>
      </c>
    </row>
    <row r="820" spans="1:10" x14ac:dyDescent="0.3">
      <c r="A820" s="2"/>
      <c r="C820" s="1"/>
      <c r="D820" s="1"/>
      <c r="E820" t="e">
        <f>+VLOOKUP(tbl_registro[[#This Row],[Patente]],Pivot_Equipos!$A$1:$E$39,3,FALSE)</f>
        <v>#N/A</v>
      </c>
      <c r="F820" s="2" t="e">
        <f>+VLOOKUP(tbl_registro[[#This Row],[Tipo Equipo]],Pivot_Equipos!$C$1:$E$39,2,FALSE)</f>
        <v>#N/A</v>
      </c>
      <c r="J820" s="2">
        <f t="shared" si="13"/>
        <v>0</v>
      </c>
    </row>
    <row r="821" spans="1:10" x14ac:dyDescent="0.3">
      <c r="A821" s="2"/>
      <c r="C821" s="1"/>
      <c r="D821" s="1"/>
      <c r="E821" t="e">
        <f>+VLOOKUP(tbl_registro[[#This Row],[Patente]],Pivot_Equipos!$A$1:$E$39,3,FALSE)</f>
        <v>#N/A</v>
      </c>
      <c r="F821" s="2" t="e">
        <f>+VLOOKUP(tbl_registro[[#This Row],[Tipo Equipo]],Pivot_Equipos!$C$1:$E$39,2,FALSE)</f>
        <v>#N/A</v>
      </c>
      <c r="J821" s="2">
        <f t="shared" si="13"/>
        <v>0</v>
      </c>
    </row>
    <row r="822" spans="1:10" x14ac:dyDescent="0.3">
      <c r="A822" s="2"/>
      <c r="C822" s="1"/>
      <c r="D822" s="1"/>
      <c r="E822" t="e">
        <f>+VLOOKUP(tbl_registro[[#This Row],[Patente]],Pivot_Equipos!$A$1:$E$39,3,FALSE)</f>
        <v>#N/A</v>
      </c>
      <c r="F822" s="2" t="e">
        <f>+VLOOKUP(tbl_registro[[#This Row],[Tipo Equipo]],Pivot_Equipos!$C$1:$E$39,2,FALSE)</f>
        <v>#N/A</v>
      </c>
      <c r="J822" s="2">
        <f t="shared" si="13"/>
        <v>0</v>
      </c>
    </row>
    <row r="823" spans="1:10" x14ac:dyDescent="0.3">
      <c r="A823" s="2"/>
      <c r="C823" s="1"/>
      <c r="D823" s="1"/>
      <c r="E823" t="e">
        <f>+VLOOKUP(tbl_registro[[#This Row],[Patente]],Pivot_Equipos!$A$1:$E$39,3,FALSE)</f>
        <v>#N/A</v>
      </c>
      <c r="F823" s="2" t="e">
        <f>+VLOOKUP(tbl_registro[[#This Row],[Tipo Equipo]],Pivot_Equipos!$C$1:$E$39,2,FALSE)</f>
        <v>#N/A</v>
      </c>
      <c r="J823" s="2">
        <f t="shared" si="13"/>
        <v>0</v>
      </c>
    </row>
    <row r="824" spans="1:10" x14ac:dyDescent="0.3">
      <c r="A824" s="2"/>
      <c r="C824" s="1"/>
      <c r="D824" s="1"/>
      <c r="E824" t="e">
        <f>+VLOOKUP(tbl_registro[[#This Row],[Patente]],Pivot_Equipos!$A$1:$E$39,3,FALSE)</f>
        <v>#N/A</v>
      </c>
      <c r="F824" s="2" t="e">
        <f>+VLOOKUP(tbl_registro[[#This Row],[Tipo Equipo]],Pivot_Equipos!$C$1:$E$39,2,FALSE)</f>
        <v>#N/A</v>
      </c>
      <c r="J824" s="2">
        <f t="shared" si="13"/>
        <v>0</v>
      </c>
    </row>
    <row r="825" spans="1:10" x14ac:dyDescent="0.3">
      <c r="A825" s="2"/>
      <c r="C825" s="1"/>
      <c r="D825" s="1"/>
      <c r="E825" t="e">
        <f>+VLOOKUP(tbl_registro[[#This Row],[Patente]],Pivot_Equipos!$A$1:$E$39,3,FALSE)</f>
        <v>#N/A</v>
      </c>
      <c r="F825" s="2" t="e">
        <f>+VLOOKUP(tbl_registro[[#This Row],[Tipo Equipo]],Pivot_Equipos!$C$1:$E$39,2,FALSE)</f>
        <v>#N/A</v>
      </c>
      <c r="J825" s="2">
        <f t="shared" si="13"/>
        <v>0</v>
      </c>
    </row>
    <row r="826" spans="1:10" x14ac:dyDescent="0.3">
      <c r="A826" s="2"/>
      <c r="C826" s="1"/>
      <c r="D826" s="1"/>
      <c r="E826" t="e">
        <f>+VLOOKUP(tbl_registro[[#This Row],[Patente]],Pivot_Equipos!$A$1:$E$39,3,FALSE)</f>
        <v>#N/A</v>
      </c>
      <c r="F826" s="2" t="e">
        <f>+VLOOKUP(tbl_registro[[#This Row],[Tipo Equipo]],Pivot_Equipos!$C$1:$E$39,2,FALSE)</f>
        <v>#N/A</v>
      </c>
      <c r="J826" s="2">
        <f t="shared" si="13"/>
        <v>0</v>
      </c>
    </row>
    <row r="827" spans="1:10" x14ac:dyDescent="0.3">
      <c r="A827" s="2"/>
      <c r="C827" s="1"/>
      <c r="D827" s="1"/>
      <c r="E827" t="e">
        <f>+VLOOKUP(tbl_registro[[#This Row],[Patente]],Pivot_Equipos!$A$1:$E$39,3,FALSE)</f>
        <v>#N/A</v>
      </c>
      <c r="F827" s="2" t="e">
        <f>+VLOOKUP(tbl_registro[[#This Row],[Tipo Equipo]],Pivot_Equipos!$C$1:$E$39,2,FALSE)</f>
        <v>#N/A</v>
      </c>
      <c r="J827" s="2">
        <f t="shared" si="13"/>
        <v>0</v>
      </c>
    </row>
    <row r="828" spans="1:10" x14ac:dyDescent="0.3">
      <c r="A828" s="2"/>
      <c r="C828" s="1"/>
      <c r="D828" s="1"/>
      <c r="E828" t="e">
        <f>+VLOOKUP(tbl_registro[[#This Row],[Patente]],Pivot_Equipos!$A$1:$E$39,3,FALSE)</f>
        <v>#N/A</v>
      </c>
      <c r="F828" s="2" t="e">
        <f>+VLOOKUP(tbl_registro[[#This Row],[Tipo Equipo]],Pivot_Equipos!$C$1:$E$39,2,FALSE)</f>
        <v>#N/A</v>
      </c>
      <c r="J828" s="2">
        <f t="shared" si="13"/>
        <v>0</v>
      </c>
    </row>
    <row r="829" spans="1:10" x14ac:dyDescent="0.3">
      <c r="A829" s="2"/>
      <c r="C829" s="1"/>
      <c r="D829" s="1"/>
      <c r="E829" t="e">
        <f>+VLOOKUP(tbl_registro[[#This Row],[Patente]],Pivot_Equipos!$A$1:$E$39,3,FALSE)</f>
        <v>#N/A</v>
      </c>
      <c r="F829" s="2" t="e">
        <f>+VLOOKUP(tbl_registro[[#This Row],[Tipo Equipo]],Pivot_Equipos!$C$1:$E$39,2,FALSE)</f>
        <v>#N/A</v>
      </c>
      <c r="J829" s="2">
        <f t="shared" si="13"/>
        <v>0</v>
      </c>
    </row>
    <row r="830" spans="1:10" x14ac:dyDescent="0.3">
      <c r="A830" s="2"/>
      <c r="C830" s="1"/>
      <c r="D830" s="1"/>
      <c r="E830" t="e">
        <f>+VLOOKUP(tbl_registro[[#This Row],[Patente]],Pivot_Equipos!$A$1:$E$39,3,FALSE)</f>
        <v>#N/A</v>
      </c>
      <c r="F830" s="2" t="e">
        <f>+VLOOKUP(tbl_registro[[#This Row],[Tipo Equipo]],Pivot_Equipos!$C$1:$E$39,2,FALSE)</f>
        <v>#N/A</v>
      </c>
      <c r="J830" s="2">
        <f t="shared" si="13"/>
        <v>0</v>
      </c>
    </row>
    <row r="831" spans="1:10" x14ac:dyDescent="0.3">
      <c r="A831" s="2"/>
      <c r="C831" s="1"/>
      <c r="D831" s="1"/>
      <c r="E831" t="e">
        <f>+VLOOKUP(tbl_registro[[#This Row],[Patente]],Pivot_Equipos!$A$1:$E$39,3,FALSE)</f>
        <v>#N/A</v>
      </c>
      <c r="F831" s="2" t="e">
        <f>+VLOOKUP(tbl_registro[[#This Row],[Tipo Equipo]],Pivot_Equipos!$C$1:$E$39,2,FALSE)</f>
        <v>#N/A</v>
      </c>
      <c r="J831" s="2">
        <f t="shared" si="13"/>
        <v>0</v>
      </c>
    </row>
    <row r="832" spans="1:10" x14ac:dyDescent="0.3">
      <c r="A832" s="2"/>
      <c r="C832" s="1"/>
      <c r="D832" s="1"/>
      <c r="E832" t="e">
        <f>+VLOOKUP(tbl_registro[[#This Row],[Patente]],Pivot_Equipos!$A$1:$E$39,3,FALSE)</f>
        <v>#N/A</v>
      </c>
      <c r="F832" s="2" t="e">
        <f>+VLOOKUP(tbl_registro[[#This Row],[Tipo Equipo]],Pivot_Equipos!$C$1:$E$39,2,FALSE)</f>
        <v>#N/A</v>
      </c>
      <c r="J832" s="2">
        <f t="shared" si="13"/>
        <v>0</v>
      </c>
    </row>
    <row r="833" spans="1:10" x14ac:dyDescent="0.3">
      <c r="A833" s="2"/>
      <c r="C833" s="1"/>
      <c r="D833" s="1"/>
      <c r="E833" t="e">
        <f>+VLOOKUP(tbl_registro[[#This Row],[Patente]],Pivot_Equipos!$A$1:$E$39,3,FALSE)</f>
        <v>#N/A</v>
      </c>
      <c r="F833" s="2" t="e">
        <f>+VLOOKUP(tbl_registro[[#This Row],[Tipo Equipo]],Pivot_Equipos!$C$1:$E$39,2,FALSE)</f>
        <v>#N/A</v>
      </c>
      <c r="J833" s="2">
        <f t="shared" si="13"/>
        <v>0</v>
      </c>
    </row>
    <row r="834" spans="1:10" x14ac:dyDescent="0.3">
      <c r="A834" s="2"/>
      <c r="C834" s="1"/>
      <c r="D834" s="1"/>
      <c r="E834" t="e">
        <f>+VLOOKUP(tbl_registro[[#This Row],[Patente]],Pivot_Equipos!$A$1:$E$39,3,FALSE)</f>
        <v>#N/A</v>
      </c>
      <c r="F834" s="2" t="e">
        <f>+VLOOKUP(tbl_registro[[#This Row],[Tipo Equipo]],Pivot_Equipos!$C$1:$E$39,2,FALSE)</f>
        <v>#N/A</v>
      </c>
      <c r="J834" s="2">
        <f t="shared" ref="J834:J897" si="14">I834-H834</f>
        <v>0</v>
      </c>
    </row>
    <row r="835" spans="1:10" x14ac:dyDescent="0.3">
      <c r="A835" s="2"/>
      <c r="C835" s="1"/>
      <c r="D835" s="1"/>
      <c r="E835" t="e">
        <f>+VLOOKUP(tbl_registro[[#This Row],[Patente]],Pivot_Equipos!$A$1:$E$39,3,FALSE)</f>
        <v>#N/A</v>
      </c>
      <c r="F835" s="2" t="e">
        <f>+VLOOKUP(tbl_registro[[#This Row],[Tipo Equipo]],Pivot_Equipos!$C$1:$E$39,2,FALSE)</f>
        <v>#N/A</v>
      </c>
      <c r="J835" s="2">
        <f t="shared" si="14"/>
        <v>0</v>
      </c>
    </row>
    <row r="836" spans="1:10" x14ac:dyDescent="0.3">
      <c r="A836" s="2"/>
      <c r="C836" s="1"/>
      <c r="D836" s="1"/>
      <c r="E836" t="e">
        <f>+VLOOKUP(tbl_registro[[#This Row],[Patente]],Pivot_Equipos!$A$1:$E$39,3,FALSE)</f>
        <v>#N/A</v>
      </c>
      <c r="F836" s="2" t="e">
        <f>+VLOOKUP(tbl_registro[[#This Row],[Tipo Equipo]],Pivot_Equipos!$C$1:$E$39,2,FALSE)</f>
        <v>#N/A</v>
      </c>
      <c r="J836" s="2">
        <f t="shared" si="14"/>
        <v>0</v>
      </c>
    </row>
    <row r="837" spans="1:10" x14ac:dyDescent="0.3">
      <c r="A837" s="2"/>
      <c r="C837" s="1"/>
      <c r="D837" s="1"/>
      <c r="E837" t="e">
        <f>+VLOOKUP(tbl_registro[[#This Row],[Patente]],Pivot_Equipos!$A$1:$E$39,3,FALSE)</f>
        <v>#N/A</v>
      </c>
      <c r="F837" s="2" t="e">
        <f>+VLOOKUP(tbl_registro[[#This Row],[Tipo Equipo]],Pivot_Equipos!$C$1:$E$39,2,FALSE)</f>
        <v>#N/A</v>
      </c>
      <c r="J837" s="2">
        <f t="shared" si="14"/>
        <v>0</v>
      </c>
    </row>
    <row r="838" spans="1:10" x14ac:dyDescent="0.3">
      <c r="A838" s="2"/>
      <c r="C838" s="1"/>
      <c r="D838" s="1"/>
      <c r="E838" t="e">
        <f>+VLOOKUP(tbl_registro[[#This Row],[Patente]],Pivot_Equipos!$A$1:$E$39,3,FALSE)</f>
        <v>#N/A</v>
      </c>
      <c r="F838" s="2" t="e">
        <f>+VLOOKUP(tbl_registro[[#This Row],[Tipo Equipo]],Pivot_Equipos!$C$1:$E$39,2,FALSE)</f>
        <v>#N/A</v>
      </c>
      <c r="J838" s="2">
        <f t="shared" si="14"/>
        <v>0</v>
      </c>
    </row>
    <row r="839" spans="1:10" x14ac:dyDescent="0.3">
      <c r="A839" s="2"/>
      <c r="C839" s="1"/>
      <c r="D839" s="1"/>
      <c r="E839" t="e">
        <f>+VLOOKUP(tbl_registro[[#This Row],[Patente]],Pivot_Equipos!$A$1:$E$39,3,FALSE)</f>
        <v>#N/A</v>
      </c>
      <c r="F839" s="2" t="e">
        <f>+VLOOKUP(tbl_registro[[#This Row],[Tipo Equipo]],Pivot_Equipos!$C$1:$E$39,2,FALSE)</f>
        <v>#N/A</v>
      </c>
      <c r="J839" s="2">
        <f t="shared" si="14"/>
        <v>0</v>
      </c>
    </row>
    <row r="840" spans="1:10" x14ac:dyDescent="0.3">
      <c r="A840" s="2"/>
      <c r="C840" s="1"/>
      <c r="D840" s="1"/>
      <c r="E840" t="e">
        <f>+VLOOKUP(tbl_registro[[#This Row],[Patente]],Pivot_Equipos!$A$1:$E$39,3,FALSE)</f>
        <v>#N/A</v>
      </c>
      <c r="F840" s="2" t="e">
        <f>+VLOOKUP(tbl_registro[[#This Row],[Tipo Equipo]],Pivot_Equipos!$C$1:$E$39,2,FALSE)</f>
        <v>#N/A</v>
      </c>
      <c r="J840" s="2">
        <f t="shared" si="14"/>
        <v>0</v>
      </c>
    </row>
    <row r="841" spans="1:10" x14ac:dyDescent="0.3">
      <c r="A841" s="2"/>
      <c r="C841" s="1"/>
      <c r="D841" s="1"/>
      <c r="E841" t="e">
        <f>+VLOOKUP(tbl_registro[[#This Row],[Patente]],Pivot_Equipos!$A$1:$E$39,3,FALSE)</f>
        <v>#N/A</v>
      </c>
      <c r="F841" s="2" t="e">
        <f>+VLOOKUP(tbl_registro[[#This Row],[Tipo Equipo]],Pivot_Equipos!$C$1:$E$39,2,FALSE)</f>
        <v>#N/A</v>
      </c>
      <c r="J841" s="2">
        <f t="shared" si="14"/>
        <v>0</v>
      </c>
    </row>
    <row r="842" spans="1:10" x14ac:dyDescent="0.3">
      <c r="A842" s="2"/>
      <c r="C842" s="1"/>
      <c r="D842" s="1"/>
      <c r="E842" t="e">
        <f>+VLOOKUP(tbl_registro[[#This Row],[Patente]],Pivot_Equipos!$A$1:$E$39,3,FALSE)</f>
        <v>#N/A</v>
      </c>
      <c r="F842" s="2" t="e">
        <f>+VLOOKUP(tbl_registro[[#This Row],[Tipo Equipo]],Pivot_Equipos!$C$1:$E$39,2,FALSE)</f>
        <v>#N/A</v>
      </c>
      <c r="J842" s="2">
        <f t="shared" si="14"/>
        <v>0</v>
      </c>
    </row>
    <row r="843" spans="1:10" x14ac:dyDescent="0.3">
      <c r="A843" s="2"/>
      <c r="C843" s="1"/>
      <c r="D843" s="1"/>
      <c r="E843" t="e">
        <f>+VLOOKUP(tbl_registro[[#This Row],[Patente]],Pivot_Equipos!$A$1:$E$39,3,FALSE)</f>
        <v>#N/A</v>
      </c>
      <c r="F843" s="2" t="e">
        <f>+VLOOKUP(tbl_registro[[#This Row],[Tipo Equipo]],Pivot_Equipos!$C$1:$E$39,2,FALSE)</f>
        <v>#N/A</v>
      </c>
      <c r="J843" s="2">
        <f t="shared" si="14"/>
        <v>0</v>
      </c>
    </row>
    <row r="844" spans="1:10" x14ac:dyDescent="0.3">
      <c r="A844" s="2"/>
      <c r="C844" s="1"/>
      <c r="D844" s="1"/>
      <c r="E844" t="e">
        <f>+VLOOKUP(tbl_registro[[#This Row],[Patente]],Pivot_Equipos!$A$1:$E$39,3,FALSE)</f>
        <v>#N/A</v>
      </c>
      <c r="F844" s="2" t="e">
        <f>+VLOOKUP(tbl_registro[[#This Row],[Tipo Equipo]],Pivot_Equipos!$C$1:$E$39,2,FALSE)</f>
        <v>#N/A</v>
      </c>
      <c r="J844" s="2">
        <f t="shared" si="14"/>
        <v>0</v>
      </c>
    </row>
    <row r="845" spans="1:10" x14ac:dyDescent="0.3">
      <c r="A845" s="2"/>
      <c r="C845" s="1"/>
      <c r="D845" s="1"/>
      <c r="E845" t="e">
        <f>+VLOOKUP(tbl_registro[[#This Row],[Patente]],Pivot_Equipos!$A$1:$E$39,3,FALSE)</f>
        <v>#N/A</v>
      </c>
      <c r="F845" s="2" t="e">
        <f>+VLOOKUP(tbl_registro[[#This Row],[Tipo Equipo]],Pivot_Equipos!$C$1:$E$39,2,FALSE)</f>
        <v>#N/A</v>
      </c>
      <c r="J845" s="2">
        <f t="shared" si="14"/>
        <v>0</v>
      </c>
    </row>
    <row r="846" spans="1:10" x14ac:dyDescent="0.3">
      <c r="A846" s="2"/>
      <c r="C846" s="1"/>
      <c r="D846" s="1"/>
      <c r="E846" t="e">
        <f>+VLOOKUP(tbl_registro[[#This Row],[Patente]],Pivot_Equipos!$A$1:$E$39,3,FALSE)</f>
        <v>#N/A</v>
      </c>
      <c r="F846" s="2" t="e">
        <f>+VLOOKUP(tbl_registro[[#This Row],[Tipo Equipo]],Pivot_Equipos!$C$1:$E$39,2,FALSE)</f>
        <v>#N/A</v>
      </c>
      <c r="J846" s="2">
        <f t="shared" si="14"/>
        <v>0</v>
      </c>
    </row>
    <row r="847" spans="1:10" x14ac:dyDescent="0.3">
      <c r="A847" s="2"/>
      <c r="C847" s="1"/>
      <c r="D847" s="1"/>
      <c r="E847" t="e">
        <f>+VLOOKUP(tbl_registro[[#This Row],[Patente]],Pivot_Equipos!$A$1:$E$39,3,FALSE)</f>
        <v>#N/A</v>
      </c>
      <c r="F847" s="2" t="e">
        <f>+VLOOKUP(tbl_registro[[#This Row],[Tipo Equipo]],Pivot_Equipos!$C$1:$E$39,2,FALSE)</f>
        <v>#N/A</v>
      </c>
      <c r="J847" s="2">
        <f t="shared" si="14"/>
        <v>0</v>
      </c>
    </row>
    <row r="848" spans="1:10" x14ac:dyDescent="0.3">
      <c r="A848" s="2"/>
      <c r="C848" s="1"/>
      <c r="D848" s="1"/>
      <c r="E848" t="e">
        <f>+VLOOKUP(tbl_registro[[#This Row],[Patente]],Pivot_Equipos!$A$1:$E$39,3,FALSE)</f>
        <v>#N/A</v>
      </c>
      <c r="F848" s="2" t="e">
        <f>+VLOOKUP(tbl_registro[[#This Row],[Tipo Equipo]],Pivot_Equipos!$C$1:$E$39,2,FALSE)</f>
        <v>#N/A</v>
      </c>
      <c r="J848" s="2">
        <f t="shared" si="14"/>
        <v>0</v>
      </c>
    </row>
    <row r="849" spans="1:10" x14ac:dyDescent="0.3">
      <c r="A849" s="2"/>
      <c r="C849" s="1"/>
      <c r="D849" s="1"/>
      <c r="E849" t="e">
        <f>+VLOOKUP(tbl_registro[[#This Row],[Patente]],Pivot_Equipos!$A$1:$E$39,3,FALSE)</f>
        <v>#N/A</v>
      </c>
      <c r="F849" s="2" t="e">
        <f>+VLOOKUP(tbl_registro[[#This Row],[Tipo Equipo]],Pivot_Equipos!$C$1:$E$39,2,FALSE)</f>
        <v>#N/A</v>
      </c>
      <c r="J849" s="2">
        <f t="shared" si="14"/>
        <v>0</v>
      </c>
    </row>
    <row r="850" spans="1:10" x14ac:dyDescent="0.3">
      <c r="A850" s="2"/>
      <c r="C850" s="1"/>
      <c r="D850" s="1"/>
      <c r="E850" t="e">
        <f>+VLOOKUP(tbl_registro[[#This Row],[Patente]],Pivot_Equipos!$A$1:$E$39,3,FALSE)</f>
        <v>#N/A</v>
      </c>
      <c r="F850" s="2" t="e">
        <f>+VLOOKUP(tbl_registro[[#This Row],[Tipo Equipo]],Pivot_Equipos!$C$1:$E$39,2,FALSE)</f>
        <v>#N/A</v>
      </c>
      <c r="J850" s="2">
        <f t="shared" si="14"/>
        <v>0</v>
      </c>
    </row>
    <row r="851" spans="1:10" x14ac:dyDescent="0.3">
      <c r="A851" s="2"/>
      <c r="C851" s="1"/>
      <c r="D851" s="1"/>
      <c r="E851" t="e">
        <f>+VLOOKUP(tbl_registro[[#This Row],[Patente]],Pivot_Equipos!$A$1:$E$39,3,FALSE)</f>
        <v>#N/A</v>
      </c>
      <c r="F851" s="2" t="e">
        <f>+VLOOKUP(tbl_registro[[#This Row],[Tipo Equipo]],Pivot_Equipos!$C$1:$E$39,2,FALSE)</f>
        <v>#N/A</v>
      </c>
      <c r="J851" s="2">
        <f t="shared" si="14"/>
        <v>0</v>
      </c>
    </row>
    <row r="852" spans="1:10" x14ac:dyDescent="0.3">
      <c r="A852" s="2"/>
      <c r="C852" s="1"/>
      <c r="D852" s="1"/>
      <c r="E852" t="e">
        <f>+VLOOKUP(tbl_registro[[#This Row],[Patente]],Pivot_Equipos!$A$1:$E$39,3,FALSE)</f>
        <v>#N/A</v>
      </c>
      <c r="F852" s="2" t="e">
        <f>+VLOOKUP(tbl_registro[[#This Row],[Tipo Equipo]],Pivot_Equipos!$C$1:$E$39,2,FALSE)</f>
        <v>#N/A</v>
      </c>
      <c r="J852" s="2">
        <f t="shared" si="14"/>
        <v>0</v>
      </c>
    </row>
    <row r="853" spans="1:10" x14ac:dyDescent="0.3">
      <c r="A853" s="2"/>
      <c r="C853" s="1"/>
      <c r="D853" s="1"/>
      <c r="E853" t="e">
        <f>+VLOOKUP(tbl_registro[[#This Row],[Patente]],Pivot_Equipos!$A$1:$E$39,3,FALSE)</f>
        <v>#N/A</v>
      </c>
      <c r="F853" s="2" t="e">
        <f>+VLOOKUP(tbl_registro[[#This Row],[Tipo Equipo]],Pivot_Equipos!$C$1:$E$39,2,FALSE)</f>
        <v>#N/A</v>
      </c>
      <c r="J853" s="2">
        <f t="shared" si="14"/>
        <v>0</v>
      </c>
    </row>
    <row r="854" spans="1:10" x14ac:dyDescent="0.3">
      <c r="A854" s="2"/>
      <c r="C854" s="1"/>
      <c r="D854" s="1"/>
      <c r="E854" t="e">
        <f>+VLOOKUP(tbl_registro[[#This Row],[Patente]],Pivot_Equipos!$A$1:$E$39,3,FALSE)</f>
        <v>#N/A</v>
      </c>
      <c r="F854" s="2" t="e">
        <f>+VLOOKUP(tbl_registro[[#This Row],[Tipo Equipo]],Pivot_Equipos!$C$1:$E$39,2,FALSE)</f>
        <v>#N/A</v>
      </c>
      <c r="J854" s="2">
        <f t="shared" si="14"/>
        <v>0</v>
      </c>
    </row>
    <row r="855" spans="1:10" x14ac:dyDescent="0.3">
      <c r="A855" s="2"/>
      <c r="C855" s="1"/>
      <c r="D855" s="1"/>
      <c r="E855" t="e">
        <f>+VLOOKUP(tbl_registro[[#This Row],[Patente]],Pivot_Equipos!$A$1:$E$39,3,FALSE)</f>
        <v>#N/A</v>
      </c>
      <c r="F855" s="2" t="e">
        <f>+VLOOKUP(tbl_registro[[#This Row],[Tipo Equipo]],Pivot_Equipos!$C$1:$E$39,2,FALSE)</f>
        <v>#N/A</v>
      </c>
      <c r="J855" s="2">
        <f t="shared" si="14"/>
        <v>0</v>
      </c>
    </row>
    <row r="856" spans="1:10" x14ac:dyDescent="0.3">
      <c r="A856" s="2"/>
      <c r="C856" s="1"/>
      <c r="D856" s="1"/>
      <c r="E856" t="e">
        <f>+VLOOKUP(tbl_registro[[#This Row],[Patente]],Pivot_Equipos!$A$1:$E$39,3,FALSE)</f>
        <v>#N/A</v>
      </c>
      <c r="F856" s="2" t="e">
        <f>+VLOOKUP(tbl_registro[[#This Row],[Tipo Equipo]],Pivot_Equipos!$C$1:$E$39,2,FALSE)</f>
        <v>#N/A</v>
      </c>
      <c r="J856" s="2">
        <f t="shared" si="14"/>
        <v>0</v>
      </c>
    </row>
    <row r="857" spans="1:10" x14ac:dyDescent="0.3">
      <c r="A857" s="2"/>
      <c r="C857" s="1"/>
      <c r="D857" s="1"/>
      <c r="E857" t="e">
        <f>+VLOOKUP(tbl_registro[[#This Row],[Patente]],Pivot_Equipos!$A$1:$E$39,3,FALSE)</f>
        <v>#N/A</v>
      </c>
      <c r="F857" s="2" t="e">
        <f>+VLOOKUP(tbl_registro[[#This Row],[Tipo Equipo]],Pivot_Equipos!$C$1:$E$39,2,FALSE)</f>
        <v>#N/A</v>
      </c>
      <c r="J857" s="2">
        <f t="shared" si="14"/>
        <v>0</v>
      </c>
    </row>
    <row r="858" spans="1:10" x14ac:dyDescent="0.3">
      <c r="A858" s="2"/>
      <c r="C858" s="1"/>
      <c r="D858" s="1"/>
      <c r="E858" t="e">
        <f>+VLOOKUP(tbl_registro[[#This Row],[Patente]],Pivot_Equipos!$A$1:$E$39,3,FALSE)</f>
        <v>#N/A</v>
      </c>
      <c r="F858" s="2" t="e">
        <f>+VLOOKUP(tbl_registro[[#This Row],[Tipo Equipo]],Pivot_Equipos!$C$1:$E$39,2,FALSE)</f>
        <v>#N/A</v>
      </c>
      <c r="J858" s="2">
        <f t="shared" si="14"/>
        <v>0</v>
      </c>
    </row>
    <row r="859" spans="1:10" x14ac:dyDescent="0.3">
      <c r="A859" s="2"/>
      <c r="C859" s="1"/>
      <c r="D859" s="1"/>
      <c r="E859" t="e">
        <f>+VLOOKUP(tbl_registro[[#This Row],[Patente]],Pivot_Equipos!$A$1:$E$39,3,FALSE)</f>
        <v>#N/A</v>
      </c>
      <c r="F859" s="2" t="e">
        <f>+VLOOKUP(tbl_registro[[#This Row],[Tipo Equipo]],Pivot_Equipos!$C$1:$E$39,2,FALSE)</f>
        <v>#N/A</v>
      </c>
      <c r="J859" s="2">
        <f t="shared" si="14"/>
        <v>0</v>
      </c>
    </row>
    <row r="860" spans="1:10" x14ac:dyDescent="0.3">
      <c r="A860" s="2"/>
      <c r="C860" s="1"/>
      <c r="D860" s="1"/>
      <c r="E860" t="e">
        <f>+VLOOKUP(tbl_registro[[#This Row],[Patente]],Pivot_Equipos!$A$1:$E$39,3,FALSE)</f>
        <v>#N/A</v>
      </c>
      <c r="F860" s="2" t="e">
        <f>+VLOOKUP(tbl_registro[[#This Row],[Tipo Equipo]],Pivot_Equipos!$C$1:$E$39,2,FALSE)</f>
        <v>#N/A</v>
      </c>
      <c r="J860" s="2">
        <f t="shared" si="14"/>
        <v>0</v>
      </c>
    </row>
    <row r="861" spans="1:10" x14ac:dyDescent="0.3">
      <c r="A861" s="2"/>
      <c r="C861" s="1"/>
      <c r="D861" s="1"/>
      <c r="E861" t="e">
        <f>+VLOOKUP(tbl_registro[[#This Row],[Patente]],Pivot_Equipos!$A$1:$E$39,3,FALSE)</f>
        <v>#N/A</v>
      </c>
      <c r="F861" s="2" t="e">
        <f>+VLOOKUP(tbl_registro[[#This Row],[Tipo Equipo]],Pivot_Equipos!$C$1:$E$39,2,FALSE)</f>
        <v>#N/A</v>
      </c>
      <c r="J861" s="2">
        <f t="shared" si="14"/>
        <v>0</v>
      </c>
    </row>
    <row r="862" spans="1:10" x14ac:dyDescent="0.3">
      <c r="A862" s="2"/>
      <c r="C862" s="1"/>
      <c r="D862" s="1"/>
      <c r="E862" t="e">
        <f>+VLOOKUP(tbl_registro[[#This Row],[Patente]],Pivot_Equipos!$A$1:$E$39,3,FALSE)</f>
        <v>#N/A</v>
      </c>
      <c r="F862" s="2" t="e">
        <f>+VLOOKUP(tbl_registro[[#This Row],[Tipo Equipo]],Pivot_Equipos!$C$1:$E$39,2,FALSE)</f>
        <v>#N/A</v>
      </c>
      <c r="J862" s="2">
        <f t="shared" si="14"/>
        <v>0</v>
      </c>
    </row>
    <row r="863" spans="1:10" x14ac:dyDescent="0.3">
      <c r="A863" s="2"/>
      <c r="C863" s="1"/>
      <c r="D863" s="1"/>
      <c r="E863" t="e">
        <f>+VLOOKUP(tbl_registro[[#This Row],[Patente]],Pivot_Equipos!$A$1:$E$39,3,FALSE)</f>
        <v>#N/A</v>
      </c>
      <c r="F863" s="2" t="e">
        <f>+VLOOKUP(tbl_registro[[#This Row],[Tipo Equipo]],Pivot_Equipos!$C$1:$E$39,2,FALSE)</f>
        <v>#N/A</v>
      </c>
      <c r="J863" s="2">
        <f t="shared" si="14"/>
        <v>0</v>
      </c>
    </row>
    <row r="864" spans="1:10" x14ac:dyDescent="0.3">
      <c r="A864" s="2"/>
      <c r="C864" s="1"/>
      <c r="D864" s="1"/>
      <c r="E864" t="e">
        <f>+VLOOKUP(tbl_registro[[#This Row],[Patente]],Pivot_Equipos!$A$1:$E$39,3,FALSE)</f>
        <v>#N/A</v>
      </c>
      <c r="F864" s="2" t="e">
        <f>+VLOOKUP(tbl_registro[[#This Row],[Tipo Equipo]],Pivot_Equipos!$C$1:$E$39,2,FALSE)</f>
        <v>#N/A</v>
      </c>
      <c r="J864" s="2">
        <f t="shared" si="14"/>
        <v>0</v>
      </c>
    </row>
    <row r="865" spans="1:10" x14ac:dyDescent="0.3">
      <c r="A865" s="2"/>
      <c r="C865" s="1"/>
      <c r="D865" s="1"/>
      <c r="E865" t="e">
        <f>+VLOOKUP(tbl_registro[[#This Row],[Patente]],Pivot_Equipos!$A$1:$E$39,3,FALSE)</f>
        <v>#N/A</v>
      </c>
      <c r="F865" s="2" t="e">
        <f>+VLOOKUP(tbl_registro[[#This Row],[Tipo Equipo]],Pivot_Equipos!$C$1:$E$39,2,FALSE)</f>
        <v>#N/A</v>
      </c>
      <c r="J865" s="2">
        <f t="shared" si="14"/>
        <v>0</v>
      </c>
    </row>
    <row r="866" spans="1:10" x14ac:dyDescent="0.3">
      <c r="A866" s="2"/>
      <c r="C866" s="1"/>
      <c r="D866" s="1"/>
      <c r="E866" t="e">
        <f>+VLOOKUP(tbl_registro[[#This Row],[Patente]],Pivot_Equipos!$A$1:$E$39,3,FALSE)</f>
        <v>#N/A</v>
      </c>
      <c r="F866" s="2" t="e">
        <f>+VLOOKUP(tbl_registro[[#This Row],[Tipo Equipo]],Pivot_Equipos!$C$1:$E$39,2,FALSE)</f>
        <v>#N/A</v>
      </c>
      <c r="J866" s="2">
        <f t="shared" si="14"/>
        <v>0</v>
      </c>
    </row>
    <row r="867" spans="1:10" x14ac:dyDescent="0.3">
      <c r="A867" s="2"/>
      <c r="C867" s="1"/>
      <c r="D867" s="1"/>
      <c r="E867" t="e">
        <f>+VLOOKUP(tbl_registro[[#This Row],[Patente]],Pivot_Equipos!$A$1:$E$39,3,FALSE)</f>
        <v>#N/A</v>
      </c>
      <c r="F867" s="2" t="e">
        <f>+VLOOKUP(tbl_registro[[#This Row],[Tipo Equipo]],Pivot_Equipos!$C$1:$E$39,2,FALSE)</f>
        <v>#N/A</v>
      </c>
      <c r="J867" s="2">
        <f t="shared" si="14"/>
        <v>0</v>
      </c>
    </row>
    <row r="868" spans="1:10" x14ac:dyDescent="0.3">
      <c r="A868" s="2"/>
      <c r="C868" s="1"/>
      <c r="D868" s="1"/>
      <c r="E868" t="e">
        <f>+VLOOKUP(tbl_registro[[#This Row],[Patente]],Pivot_Equipos!$A$1:$E$39,3,FALSE)</f>
        <v>#N/A</v>
      </c>
      <c r="F868" s="2" t="e">
        <f>+VLOOKUP(tbl_registro[[#This Row],[Tipo Equipo]],Pivot_Equipos!$C$1:$E$39,2,FALSE)</f>
        <v>#N/A</v>
      </c>
      <c r="J868" s="2">
        <f t="shared" si="14"/>
        <v>0</v>
      </c>
    </row>
    <row r="869" spans="1:10" x14ac:dyDescent="0.3">
      <c r="A869" s="2"/>
      <c r="C869" s="1"/>
      <c r="D869" s="1"/>
      <c r="E869" t="e">
        <f>+VLOOKUP(tbl_registro[[#This Row],[Patente]],Pivot_Equipos!$A$1:$E$39,3,FALSE)</f>
        <v>#N/A</v>
      </c>
      <c r="F869" s="2" t="e">
        <f>+VLOOKUP(tbl_registro[[#This Row],[Tipo Equipo]],Pivot_Equipos!$C$1:$E$39,2,FALSE)</f>
        <v>#N/A</v>
      </c>
      <c r="J869" s="2">
        <f t="shared" si="14"/>
        <v>0</v>
      </c>
    </row>
    <row r="870" spans="1:10" x14ac:dyDescent="0.3">
      <c r="A870" s="2"/>
      <c r="C870" s="1"/>
      <c r="D870" s="1"/>
      <c r="E870" t="e">
        <f>+VLOOKUP(tbl_registro[[#This Row],[Patente]],Pivot_Equipos!$A$1:$E$39,3,FALSE)</f>
        <v>#N/A</v>
      </c>
      <c r="F870" s="2" t="e">
        <f>+VLOOKUP(tbl_registro[[#This Row],[Tipo Equipo]],Pivot_Equipos!$C$1:$E$39,2,FALSE)</f>
        <v>#N/A</v>
      </c>
      <c r="J870" s="2">
        <f t="shared" si="14"/>
        <v>0</v>
      </c>
    </row>
    <row r="871" spans="1:10" x14ac:dyDescent="0.3">
      <c r="A871" s="2"/>
      <c r="C871" s="1"/>
      <c r="D871" s="1"/>
      <c r="E871" t="e">
        <f>+VLOOKUP(tbl_registro[[#This Row],[Patente]],Pivot_Equipos!$A$1:$E$39,3,FALSE)</f>
        <v>#N/A</v>
      </c>
      <c r="F871" s="2" t="e">
        <f>+VLOOKUP(tbl_registro[[#This Row],[Tipo Equipo]],Pivot_Equipos!$C$1:$E$39,2,FALSE)</f>
        <v>#N/A</v>
      </c>
      <c r="J871" s="2">
        <f t="shared" si="14"/>
        <v>0</v>
      </c>
    </row>
    <row r="872" spans="1:10" x14ac:dyDescent="0.3">
      <c r="A872" s="2"/>
      <c r="C872" s="1"/>
      <c r="D872" s="1"/>
      <c r="E872" t="e">
        <f>+VLOOKUP(tbl_registro[[#This Row],[Patente]],Pivot_Equipos!$A$1:$E$39,3,FALSE)</f>
        <v>#N/A</v>
      </c>
      <c r="F872" s="2" t="e">
        <f>+VLOOKUP(tbl_registro[[#This Row],[Tipo Equipo]],Pivot_Equipos!$C$1:$E$39,2,FALSE)</f>
        <v>#N/A</v>
      </c>
      <c r="J872" s="2">
        <f t="shared" si="14"/>
        <v>0</v>
      </c>
    </row>
    <row r="873" spans="1:10" x14ac:dyDescent="0.3">
      <c r="A873" s="2"/>
      <c r="C873" s="1"/>
      <c r="D873" s="1"/>
      <c r="E873" t="e">
        <f>+VLOOKUP(tbl_registro[[#This Row],[Patente]],Pivot_Equipos!$A$1:$E$39,3,FALSE)</f>
        <v>#N/A</v>
      </c>
      <c r="F873" s="2" t="e">
        <f>+VLOOKUP(tbl_registro[[#This Row],[Tipo Equipo]],Pivot_Equipos!$C$1:$E$39,2,FALSE)</f>
        <v>#N/A</v>
      </c>
      <c r="J873" s="2">
        <f t="shared" si="14"/>
        <v>0</v>
      </c>
    </row>
    <row r="874" spans="1:10" x14ac:dyDescent="0.3">
      <c r="A874" s="2"/>
      <c r="C874" s="1"/>
      <c r="D874" s="1"/>
      <c r="E874" t="e">
        <f>+VLOOKUP(tbl_registro[[#This Row],[Patente]],Pivot_Equipos!$A$1:$E$39,3,FALSE)</f>
        <v>#N/A</v>
      </c>
      <c r="F874" s="2" t="e">
        <f>+VLOOKUP(tbl_registro[[#This Row],[Tipo Equipo]],Pivot_Equipos!$C$1:$E$39,2,FALSE)</f>
        <v>#N/A</v>
      </c>
      <c r="J874" s="2">
        <f t="shared" si="14"/>
        <v>0</v>
      </c>
    </row>
    <row r="875" spans="1:10" x14ac:dyDescent="0.3">
      <c r="A875" s="2"/>
      <c r="C875" s="1"/>
      <c r="D875" s="1"/>
      <c r="E875" t="e">
        <f>+VLOOKUP(tbl_registro[[#This Row],[Patente]],Pivot_Equipos!$A$1:$E$39,3,FALSE)</f>
        <v>#N/A</v>
      </c>
      <c r="F875" s="2" t="e">
        <f>+VLOOKUP(tbl_registro[[#This Row],[Tipo Equipo]],Pivot_Equipos!$C$1:$E$39,2,FALSE)</f>
        <v>#N/A</v>
      </c>
      <c r="J875" s="2">
        <f t="shared" si="14"/>
        <v>0</v>
      </c>
    </row>
    <row r="876" spans="1:10" x14ac:dyDescent="0.3">
      <c r="A876" s="2"/>
      <c r="C876" s="1"/>
      <c r="D876" s="1"/>
      <c r="E876" t="e">
        <f>+VLOOKUP(tbl_registro[[#This Row],[Patente]],Pivot_Equipos!$A$1:$E$39,3,FALSE)</f>
        <v>#N/A</v>
      </c>
      <c r="F876" s="2" t="e">
        <f>+VLOOKUP(tbl_registro[[#This Row],[Tipo Equipo]],Pivot_Equipos!$C$1:$E$39,2,FALSE)</f>
        <v>#N/A</v>
      </c>
      <c r="J876" s="2">
        <f t="shared" si="14"/>
        <v>0</v>
      </c>
    </row>
    <row r="877" spans="1:10" x14ac:dyDescent="0.3">
      <c r="A877" s="2"/>
      <c r="C877" s="1"/>
      <c r="D877" s="1"/>
      <c r="E877" t="e">
        <f>+VLOOKUP(tbl_registro[[#This Row],[Patente]],Pivot_Equipos!$A$1:$E$39,3,FALSE)</f>
        <v>#N/A</v>
      </c>
      <c r="F877" s="2" t="e">
        <f>+VLOOKUP(tbl_registro[[#This Row],[Tipo Equipo]],Pivot_Equipos!$C$1:$E$39,2,FALSE)</f>
        <v>#N/A</v>
      </c>
      <c r="J877" s="2">
        <f t="shared" si="14"/>
        <v>0</v>
      </c>
    </row>
    <row r="878" spans="1:10" x14ac:dyDescent="0.3">
      <c r="A878" s="2"/>
      <c r="C878" s="1"/>
      <c r="D878" s="1"/>
      <c r="E878" t="e">
        <f>+VLOOKUP(tbl_registro[[#This Row],[Patente]],Pivot_Equipos!$A$1:$E$39,3,FALSE)</f>
        <v>#N/A</v>
      </c>
      <c r="F878" s="2" t="e">
        <f>+VLOOKUP(tbl_registro[[#This Row],[Tipo Equipo]],Pivot_Equipos!$C$1:$E$39,2,FALSE)</f>
        <v>#N/A</v>
      </c>
      <c r="J878" s="2">
        <f t="shared" si="14"/>
        <v>0</v>
      </c>
    </row>
    <row r="879" spans="1:10" x14ac:dyDescent="0.3">
      <c r="A879" s="2"/>
      <c r="C879" s="1"/>
      <c r="D879" s="1"/>
      <c r="E879" t="e">
        <f>+VLOOKUP(tbl_registro[[#This Row],[Patente]],Pivot_Equipos!$A$1:$E$39,3,FALSE)</f>
        <v>#N/A</v>
      </c>
      <c r="F879" s="2" t="e">
        <f>+VLOOKUP(tbl_registro[[#This Row],[Tipo Equipo]],Pivot_Equipos!$C$1:$E$39,2,FALSE)</f>
        <v>#N/A</v>
      </c>
      <c r="J879" s="2">
        <f t="shared" si="14"/>
        <v>0</v>
      </c>
    </row>
    <row r="880" spans="1:10" x14ac:dyDescent="0.3">
      <c r="A880" s="2"/>
      <c r="C880" s="1"/>
      <c r="D880" s="1"/>
      <c r="E880" t="e">
        <f>+VLOOKUP(tbl_registro[[#This Row],[Patente]],Pivot_Equipos!$A$1:$E$39,3,FALSE)</f>
        <v>#N/A</v>
      </c>
      <c r="F880" s="2" t="e">
        <f>+VLOOKUP(tbl_registro[[#This Row],[Tipo Equipo]],Pivot_Equipos!$C$1:$E$39,2,FALSE)</f>
        <v>#N/A</v>
      </c>
      <c r="J880" s="2">
        <f t="shared" si="14"/>
        <v>0</v>
      </c>
    </row>
    <row r="881" spans="1:10" x14ac:dyDescent="0.3">
      <c r="A881" s="2"/>
      <c r="C881" s="1"/>
      <c r="D881" s="1"/>
      <c r="E881" t="e">
        <f>+VLOOKUP(tbl_registro[[#This Row],[Patente]],Pivot_Equipos!$A$1:$E$39,3,FALSE)</f>
        <v>#N/A</v>
      </c>
      <c r="F881" s="2" t="e">
        <f>+VLOOKUP(tbl_registro[[#This Row],[Tipo Equipo]],Pivot_Equipos!$C$1:$E$39,2,FALSE)</f>
        <v>#N/A</v>
      </c>
      <c r="J881" s="2">
        <f t="shared" si="14"/>
        <v>0</v>
      </c>
    </row>
    <row r="882" spans="1:10" x14ac:dyDescent="0.3">
      <c r="A882" s="2"/>
      <c r="C882" s="1"/>
      <c r="D882" s="1"/>
      <c r="E882" t="e">
        <f>+VLOOKUP(tbl_registro[[#This Row],[Patente]],Pivot_Equipos!$A$1:$E$39,3,FALSE)</f>
        <v>#N/A</v>
      </c>
      <c r="F882" s="2" t="e">
        <f>+VLOOKUP(tbl_registro[[#This Row],[Tipo Equipo]],Pivot_Equipos!$C$1:$E$39,2,FALSE)</f>
        <v>#N/A</v>
      </c>
      <c r="J882" s="2">
        <f t="shared" si="14"/>
        <v>0</v>
      </c>
    </row>
    <row r="883" spans="1:10" x14ac:dyDescent="0.3">
      <c r="A883" s="2"/>
      <c r="C883" s="1"/>
      <c r="D883" s="1"/>
      <c r="E883" t="e">
        <f>+VLOOKUP(tbl_registro[[#This Row],[Patente]],Pivot_Equipos!$A$1:$E$39,3,FALSE)</f>
        <v>#N/A</v>
      </c>
      <c r="F883" s="2" t="e">
        <f>+VLOOKUP(tbl_registro[[#This Row],[Tipo Equipo]],Pivot_Equipos!$C$1:$E$39,2,FALSE)</f>
        <v>#N/A</v>
      </c>
      <c r="J883" s="2">
        <f t="shared" si="14"/>
        <v>0</v>
      </c>
    </row>
    <row r="884" spans="1:10" x14ac:dyDescent="0.3">
      <c r="A884" s="2"/>
      <c r="C884" s="1"/>
      <c r="D884" s="1"/>
      <c r="E884" t="e">
        <f>+VLOOKUP(tbl_registro[[#This Row],[Patente]],Pivot_Equipos!$A$1:$E$39,3,FALSE)</f>
        <v>#N/A</v>
      </c>
      <c r="F884" s="2" t="e">
        <f>+VLOOKUP(tbl_registro[[#This Row],[Tipo Equipo]],Pivot_Equipos!$C$1:$E$39,2,FALSE)</f>
        <v>#N/A</v>
      </c>
      <c r="J884" s="2">
        <f t="shared" si="14"/>
        <v>0</v>
      </c>
    </row>
    <row r="885" spans="1:10" x14ac:dyDescent="0.3">
      <c r="A885" s="2"/>
      <c r="C885" s="1"/>
      <c r="D885" s="1"/>
      <c r="E885" t="e">
        <f>+VLOOKUP(tbl_registro[[#This Row],[Patente]],Pivot_Equipos!$A$1:$E$39,3,FALSE)</f>
        <v>#N/A</v>
      </c>
      <c r="F885" s="2" t="e">
        <f>+VLOOKUP(tbl_registro[[#This Row],[Tipo Equipo]],Pivot_Equipos!$C$1:$E$39,2,FALSE)</f>
        <v>#N/A</v>
      </c>
      <c r="J885" s="2">
        <f t="shared" si="14"/>
        <v>0</v>
      </c>
    </row>
    <row r="886" spans="1:10" x14ac:dyDescent="0.3">
      <c r="A886" s="2"/>
      <c r="C886" s="1"/>
      <c r="D886" s="1"/>
      <c r="E886" t="e">
        <f>+VLOOKUP(tbl_registro[[#This Row],[Patente]],Pivot_Equipos!$A$1:$E$39,3,FALSE)</f>
        <v>#N/A</v>
      </c>
      <c r="F886" s="2" t="e">
        <f>+VLOOKUP(tbl_registro[[#This Row],[Tipo Equipo]],Pivot_Equipos!$C$1:$E$39,2,FALSE)</f>
        <v>#N/A</v>
      </c>
      <c r="J886" s="2">
        <f t="shared" si="14"/>
        <v>0</v>
      </c>
    </row>
    <row r="887" spans="1:10" x14ac:dyDescent="0.3">
      <c r="A887" s="2"/>
      <c r="C887" s="1"/>
      <c r="D887" s="1"/>
      <c r="E887" t="e">
        <f>+VLOOKUP(tbl_registro[[#This Row],[Patente]],Pivot_Equipos!$A$1:$E$39,3,FALSE)</f>
        <v>#N/A</v>
      </c>
      <c r="F887" s="2" t="e">
        <f>+VLOOKUP(tbl_registro[[#This Row],[Tipo Equipo]],Pivot_Equipos!$C$1:$E$39,2,FALSE)</f>
        <v>#N/A</v>
      </c>
      <c r="J887" s="2">
        <f t="shared" si="14"/>
        <v>0</v>
      </c>
    </row>
    <row r="888" spans="1:10" x14ac:dyDescent="0.3">
      <c r="A888" s="2"/>
      <c r="C888" s="1"/>
      <c r="D888" s="1"/>
      <c r="E888" t="e">
        <f>+VLOOKUP(tbl_registro[[#This Row],[Patente]],Pivot_Equipos!$A$1:$E$39,3,FALSE)</f>
        <v>#N/A</v>
      </c>
      <c r="F888" s="2" t="e">
        <f>+VLOOKUP(tbl_registro[[#This Row],[Tipo Equipo]],Pivot_Equipos!$C$1:$E$39,2,FALSE)</f>
        <v>#N/A</v>
      </c>
      <c r="J888" s="2">
        <f t="shared" si="14"/>
        <v>0</v>
      </c>
    </row>
    <row r="889" spans="1:10" x14ac:dyDescent="0.3">
      <c r="A889" s="2"/>
      <c r="C889" s="1"/>
      <c r="D889" s="1"/>
      <c r="E889" t="e">
        <f>+VLOOKUP(tbl_registro[[#This Row],[Patente]],Pivot_Equipos!$A$1:$E$39,3,FALSE)</f>
        <v>#N/A</v>
      </c>
      <c r="F889" s="2" t="e">
        <f>+VLOOKUP(tbl_registro[[#This Row],[Tipo Equipo]],Pivot_Equipos!$C$1:$E$39,2,FALSE)</f>
        <v>#N/A</v>
      </c>
      <c r="J889" s="2">
        <f t="shared" si="14"/>
        <v>0</v>
      </c>
    </row>
    <row r="890" spans="1:10" x14ac:dyDescent="0.3">
      <c r="A890" s="2"/>
      <c r="C890" s="1"/>
      <c r="D890" s="1"/>
      <c r="E890" t="e">
        <f>+VLOOKUP(tbl_registro[[#This Row],[Patente]],Pivot_Equipos!$A$1:$E$39,3,FALSE)</f>
        <v>#N/A</v>
      </c>
      <c r="F890" s="2" t="e">
        <f>+VLOOKUP(tbl_registro[[#This Row],[Tipo Equipo]],Pivot_Equipos!$C$1:$E$39,2,FALSE)</f>
        <v>#N/A</v>
      </c>
      <c r="J890" s="2">
        <f t="shared" si="14"/>
        <v>0</v>
      </c>
    </row>
    <row r="891" spans="1:10" x14ac:dyDescent="0.3">
      <c r="A891" s="2"/>
      <c r="C891" s="1"/>
      <c r="D891" s="1"/>
      <c r="E891" t="e">
        <f>+VLOOKUP(tbl_registro[[#This Row],[Patente]],Pivot_Equipos!$A$1:$E$39,3,FALSE)</f>
        <v>#N/A</v>
      </c>
      <c r="F891" s="2" t="e">
        <f>+VLOOKUP(tbl_registro[[#This Row],[Tipo Equipo]],Pivot_Equipos!$C$1:$E$39,2,FALSE)</f>
        <v>#N/A</v>
      </c>
      <c r="J891" s="2">
        <f t="shared" si="14"/>
        <v>0</v>
      </c>
    </row>
    <row r="892" spans="1:10" x14ac:dyDescent="0.3">
      <c r="A892" s="2"/>
      <c r="C892" s="1"/>
      <c r="D892" s="1"/>
      <c r="E892" t="e">
        <f>+VLOOKUP(tbl_registro[[#This Row],[Patente]],Pivot_Equipos!$A$1:$E$39,3,FALSE)</f>
        <v>#N/A</v>
      </c>
      <c r="F892" s="2" t="e">
        <f>+VLOOKUP(tbl_registro[[#This Row],[Tipo Equipo]],Pivot_Equipos!$C$1:$E$39,2,FALSE)</f>
        <v>#N/A</v>
      </c>
      <c r="J892" s="2">
        <f t="shared" si="14"/>
        <v>0</v>
      </c>
    </row>
    <row r="893" spans="1:10" x14ac:dyDescent="0.3">
      <c r="A893" s="2"/>
      <c r="C893" s="1"/>
      <c r="D893" s="1"/>
      <c r="E893" t="e">
        <f>+VLOOKUP(tbl_registro[[#This Row],[Patente]],Pivot_Equipos!$A$1:$E$39,3,FALSE)</f>
        <v>#N/A</v>
      </c>
      <c r="F893" s="2" t="e">
        <f>+VLOOKUP(tbl_registro[[#This Row],[Tipo Equipo]],Pivot_Equipos!$C$1:$E$39,2,FALSE)</f>
        <v>#N/A</v>
      </c>
      <c r="J893" s="2">
        <f t="shared" si="14"/>
        <v>0</v>
      </c>
    </row>
    <row r="894" spans="1:10" x14ac:dyDescent="0.3">
      <c r="A894" s="2"/>
      <c r="C894" s="1"/>
      <c r="D894" s="1"/>
      <c r="E894" t="e">
        <f>+VLOOKUP(tbl_registro[[#This Row],[Patente]],Pivot_Equipos!$A$1:$E$39,3,FALSE)</f>
        <v>#N/A</v>
      </c>
      <c r="F894" s="2" t="e">
        <f>+VLOOKUP(tbl_registro[[#This Row],[Tipo Equipo]],Pivot_Equipos!$C$1:$E$39,2,FALSE)</f>
        <v>#N/A</v>
      </c>
      <c r="J894" s="2">
        <f t="shared" si="14"/>
        <v>0</v>
      </c>
    </row>
    <row r="895" spans="1:10" x14ac:dyDescent="0.3">
      <c r="A895" s="2"/>
      <c r="C895" s="1"/>
      <c r="D895" s="1"/>
      <c r="E895" t="e">
        <f>+VLOOKUP(tbl_registro[[#This Row],[Patente]],Pivot_Equipos!$A$1:$E$39,3,FALSE)</f>
        <v>#N/A</v>
      </c>
      <c r="F895" s="2" t="e">
        <f>+VLOOKUP(tbl_registro[[#This Row],[Tipo Equipo]],Pivot_Equipos!$C$1:$E$39,2,FALSE)</f>
        <v>#N/A</v>
      </c>
      <c r="J895" s="2">
        <f t="shared" si="14"/>
        <v>0</v>
      </c>
    </row>
    <row r="896" spans="1:10" x14ac:dyDescent="0.3">
      <c r="A896" s="2"/>
      <c r="C896" s="1"/>
      <c r="D896" s="1"/>
      <c r="E896" t="e">
        <f>+VLOOKUP(tbl_registro[[#This Row],[Patente]],Pivot_Equipos!$A$1:$E$39,3,FALSE)</f>
        <v>#N/A</v>
      </c>
      <c r="F896" s="2" t="e">
        <f>+VLOOKUP(tbl_registro[[#This Row],[Tipo Equipo]],Pivot_Equipos!$C$1:$E$39,2,FALSE)</f>
        <v>#N/A</v>
      </c>
      <c r="J896" s="2">
        <f t="shared" si="14"/>
        <v>0</v>
      </c>
    </row>
    <row r="897" spans="1:10" x14ac:dyDescent="0.3">
      <c r="A897" s="2"/>
      <c r="C897" s="1"/>
      <c r="D897" s="1"/>
      <c r="E897" t="e">
        <f>+VLOOKUP(tbl_registro[[#This Row],[Patente]],Pivot_Equipos!$A$1:$E$39,3,FALSE)</f>
        <v>#N/A</v>
      </c>
      <c r="F897" s="2" t="e">
        <f>+VLOOKUP(tbl_registro[[#This Row],[Tipo Equipo]],Pivot_Equipos!$C$1:$E$39,2,FALSE)</f>
        <v>#N/A</v>
      </c>
      <c r="J897" s="2">
        <f t="shared" si="14"/>
        <v>0</v>
      </c>
    </row>
    <row r="898" spans="1:10" x14ac:dyDescent="0.3">
      <c r="A898" s="2"/>
      <c r="C898" s="1"/>
      <c r="D898" s="1"/>
      <c r="E898" t="e">
        <f>+VLOOKUP(tbl_registro[[#This Row],[Patente]],Pivot_Equipos!$A$1:$E$39,3,FALSE)</f>
        <v>#N/A</v>
      </c>
      <c r="F898" s="2" t="e">
        <f>+VLOOKUP(tbl_registro[[#This Row],[Tipo Equipo]],Pivot_Equipos!$C$1:$E$39,2,FALSE)</f>
        <v>#N/A</v>
      </c>
      <c r="J898" s="2">
        <f t="shared" ref="J898:J961" si="15">I898-H898</f>
        <v>0</v>
      </c>
    </row>
    <row r="899" spans="1:10" x14ac:dyDescent="0.3">
      <c r="A899" s="2"/>
      <c r="C899" s="1"/>
      <c r="D899" s="1"/>
      <c r="E899" t="e">
        <f>+VLOOKUP(tbl_registro[[#This Row],[Patente]],Pivot_Equipos!$A$1:$E$39,3,FALSE)</f>
        <v>#N/A</v>
      </c>
      <c r="F899" s="2" t="e">
        <f>+VLOOKUP(tbl_registro[[#This Row],[Tipo Equipo]],Pivot_Equipos!$C$1:$E$39,2,FALSE)</f>
        <v>#N/A</v>
      </c>
      <c r="J899" s="2">
        <f t="shared" si="15"/>
        <v>0</v>
      </c>
    </row>
    <row r="900" spans="1:10" x14ac:dyDescent="0.3">
      <c r="A900" s="2"/>
      <c r="C900" s="1"/>
      <c r="D900" s="1"/>
      <c r="E900" t="e">
        <f>+VLOOKUP(tbl_registro[[#This Row],[Patente]],Pivot_Equipos!$A$1:$E$39,3,FALSE)</f>
        <v>#N/A</v>
      </c>
      <c r="F900" s="2" t="e">
        <f>+VLOOKUP(tbl_registro[[#This Row],[Tipo Equipo]],Pivot_Equipos!$C$1:$E$39,2,FALSE)</f>
        <v>#N/A</v>
      </c>
      <c r="J900" s="2">
        <f t="shared" si="15"/>
        <v>0</v>
      </c>
    </row>
    <row r="901" spans="1:10" x14ac:dyDescent="0.3">
      <c r="A901" s="2"/>
      <c r="C901" s="1"/>
      <c r="D901" s="1"/>
      <c r="E901" t="e">
        <f>+VLOOKUP(tbl_registro[[#This Row],[Patente]],Pivot_Equipos!$A$1:$E$39,3,FALSE)</f>
        <v>#N/A</v>
      </c>
      <c r="F901" s="2" t="e">
        <f>+VLOOKUP(tbl_registro[[#This Row],[Tipo Equipo]],Pivot_Equipos!$C$1:$E$39,2,FALSE)</f>
        <v>#N/A</v>
      </c>
      <c r="J901" s="2">
        <f t="shared" si="15"/>
        <v>0</v>
      </c>
    </row>
    <row r="902" spans="1:10" x14ac:dyDescent="0.3">
      <c r="A902" s="2"/>
      <c r="C902" s="1"/>
      <c r="D902" s="1"/>
      <c r="E902" t="e">
        <f>+VLOOKUP(tbl_registro[[#This Row],[Patente]],Pivot_Equipos!$A$1:$E$39,3,FALSE)</f>
        <v>#N/A</v>
      </c>
      <c r="F902" s="2" t="e">
        <f>+VLOOKUP(tbl_registro[[#This Row],[Tipo Equipo]],Pivot_Equipos!$C$1:$E$39,2,FALSE)</f>
        <v>#N/A</v>
      </c>
      <c r="J902" s="2">
        <f t="shared" si="15"/>
        <v>0</v>
      </c>
    </row>
    <row r="903" spans="1:10" x14ac:dyDescent="0.3">
      <c r="A903" s="2"/>
      <c r="C903" s="1"/>
      <c r="D903" s="1"/>
      <c r="E903" t="e">
        <f>+VLOOKUP(tbl_registro[[#This Row],[Patente]],Pivot_Equipos!$A$1:$E$39,3,FALSE)</f>
        <v>#N/A</v>
      </c>
      <c r="F903" s="2" t="e">
        <f>+VLOOKUP(tbl_registro[[#This Row],[Tipo Equipo]],Pivot_Equipos!$C$1:$E$39,2,FALSE)</f>
        <v>#N/A</v>
      </c>
      <c r="J903" s="2">
        <f t="shared" si="15"/>
        <v>0</v>
      </c>
    </row>
    <row r="904" spans="1:10" x14ac:dyDescent="0.3">
      <c r="A904" s="2"/>
      <c r="C904" s="1"/>
      <c r="D904" s="1"/>
      <c r="E904" t="e">
        <f>+VLOOKUP(tbl_registro[[#This Row],[Patente]],Pivot_Equipos!$A$1:$E$39,3,FALSE)</f>
        <v>#N/A</v>
      </c>
      <c r="F904" s="2" t="e">
        <f>+VLOOKUP(tbl_registro[[#This Row],[Tipo Equipo]],Pivot_Equipos!$C$1:$E$39,2,FALSE)</f>
        <v>#N/A</v>
      </c>
      <c r="J904" s="2">
        <f t="shared" si="15"/>
        <v>0</v>
      </c>
    </row>
    <row r="905" spans="1:10" x14ac:dyDescent="0.3">
      <c r="A905" s="2"/>
      <c r="C905" s="1"/>
      <c r="D905" s="1"/>
      <c r="E905" t="e">
        <f>+VLOOKUP(tbl_registro[[#This Row],[Patente]],Pivot_Equipos!$A$1:$E$39,3,FALSE)</f>
        <v>#N/A</v>
      </c>
      <c r="F905" s="2" t="e">
        <f>+VLOOKUP(tbl_registro[[#This Row],[Tipo Equipo]],Pivot_Equipos!$C$1:$E$39,2,FALSE)</f>
        <v>#N/A</v>
      </c>
      <c r="J905" s="2">
        <f t="shared" si="15"/>
        <v>0</v>
      </c>
    </row>
    <row r="906" spans="1:10" x14ac:dyDescent="0.3">
      <c r="A906" s="2"/>
      <c r="C906" s="1"/>
      <c r="D906" s="1"/>
      <c r="E906" t="e">
        <f>+VLOOKUP(tbl_registro[[#This Row],[Patente]],Pivot_Equipos!$A$1:$E$39,3,FALSE)</f>
        <v>#N/A</v>
      </c>
      <c r="F906" s="2" t="e">
        <f>+VLOOKUP(tbl_registro[[#This Row],[Tipo Equipo]],Pivot_Equipos!$C$1:$E$39,2,FALSE)</f>
        <v>#N/A</v>
      </c>
      <c r="J906" s="2">
        <f t="shared" si="15"/>
        <v>0</v>
      </c>
    </row>
    <row r="907" spans="1:10" x14ac:dyDescent="0.3">
      <c r="A907" s="2"/>
      <c r="C907" s="1"/>
      <c r="D907" s="1"/>
      <c r="E907" t="e">
        <f>+VLOOKUP(tbl_registro[[#This Row],[Patente]],Pivot_Equipos!$A$1:$E$39,3,FALSE)</f>
        <v>#N/A</v>
      </c>
      <c r="F907" s="2" t="e">
        <f>+VLOOKUP(tbl_registro[[#This Row],[Tipo Equipo]],Pivot_Equipos!$C$1:$E$39,2,FALSE)</f>
        <v>#N/A</v>
      </c>
      <c r="J907" s="2">
        <f t="shared" si="15"/>
        <v>0</v>
      </c>
    </row>
    <row r="908" spans="1:10" x14ac:dyDescent="0.3">
      <c r="A908" s="2"/>
      <c r="C908" s="1"/>
      <c r="D908" s="1"/>
      <c r="E908" t="e">
        <f>+VLOOKUP(tbl_registro[[#This Row],[Patente]],Pivot_Equipos!$A$1:$E$39,3,FALSE)</f>
        <v>#N/A</v>
      </c>
      <c r="F908" s="2" t="e">
        <f>+VLOOKUP(tbl_registro[[#This Row],[Tipo Equipo]],Pivot_Equipos!$C$1:$E$39,2,FALSE)</f>
        <v>#N/A</v>
      </c>
      <c r="J908" s="2">
        <f t="shared" si="15"/>
        <v>0</v>
      </c>
    </row>
    <row r="909" spans="1:10" x14ac:dyDescent="0.3">
      <c r="A909" s="2"/>
      <c r="C909" s="1"/>
      <c r="D909" s="1"/>
      <c r="E909" t="e">
        <f>+VLOOKUP(tbl_registro[[#This Row],[Patente]],Pivot_Equipos!$A$1:$E$39,3,FALSE)</f>
        <v>#N/A</v>
      </c>
      <c r="F909" s="2" t="e">
        <f>+VLOOKUP(tbl_registro[[#This Row],[Tipo Equipo]],Pivot_Equipos!$C$1:$E$39,2,FALSE)</f>
        <v>#N/A</v>
      </c>
      <c r="J909" s="2">
        <f t="shared" si="15"/>
        <v>0</v>
      </c>
    </row>
    <row r="910" spans="1:10" x14ac:dyDescent="0.3">
      <c r="A910" s="2"/>
      <c r="C910" s="1"/>
      <c r="D910" s="1"/>
      <c r="E910" t="e">
        <f>+VLOOKUP(tbl_registro[[#This Row],[Patente]],Pivot_Equipos!$A$1:$E$39,3,FALSE)</f>
        <v>#N/A</v>
      </c>
      <c r="F910" s="2" t="e">
        <f>+VLOOKUP(tbl_registro[[#This Row],[Tipo Equipo]],Pivot_Equipos!$C$1:$E$39,2,FALSE)</f>
        <v>#N/A</v>
      </c>
      <c r="J910" s="2">
        <f t="shared" si="15"/>
        <v>0</v>
      </c>
    </row>
    <row r="911" spans="1:10" x14ac:dyDescent="0.3">
      <c r="A911" s="2"/>
      <c r="C911" s="1"/>
      <c r="D911" s="1"/>
      <c r="E911" t="e">
        <f>+VLOOKUP(tbl_registro[[#This Row],[Patente]],Pivot_Equipos!$A$1:$E$39,3,FALSE)</f>
        <v>#N/A</v>
      </c>
      <c r="F911" s="2" t="e">
        <f>+VLOOKUP(tbl_registro[[#This Row],[Tipo Equipo]],Pivot_Equipos!$C$1:$E$39,2,FALSE)</f>
        <v>#N/A</v>
      </c>
      <c r="J911" s="2">
        <f t="shared" si="15"/>
        <v>0</v>
      </c>
    </row>
    <row r="912" spans="1:10" x14ac:dyDescent="0.3">
      <c r="A912" s="2"/>
      <c r="C912" s="1"/>
      <c r="D912" s="1"/>
      <c r="E912" t="e">
        <f>+VLOOKUP(tbl_registro[[#This Row],[Patente]],Pivot_Equipos!$A$1:$E$39,3,FALSE)</f>
        <v>#N/A</v>
      </c>
      <c r="F912" s="2" t="e">
        <f>+VLOOKUP(tbl_registro[[#This Row],[Tipo Equipo]],Pivot_Equipos!$C$1:$E$39,2,FALSE)</f>
        <v>#N/A</v>
      </c>
      <c r="J912" s="2">
        <f t="shared" si="15"/>
        <v>0</v>
      </c>
    </row>
    <row r="913" spans="1:10" x14ac:dyDescent="0.3">
      <c r="A913" s="2"/>
      <c r="C913" s="1"/>
      <c r="D913" s="1"/>
      <c r="E913" t="e">
        <f>+VLOOKUP(tbl_registro[[#This Row],[Patente]],Pivot_Equipos!$A$1:$E$39,3,FALSE)</f>
        <v>#N/A</v>
      </c>
      <c r="F913" s="2" t="e">
        <f>+VLOOKUP(tbl_registro[[#This Row],[Tipo Equipo]],Pivot_Equipos!$C$1:$E$39,2,FALSE)</f>
        <v>#N/A</v>
      </c>
      <c r="J913" s="2">
        <f t="shared" si="15"/>
        <v>0</v>
      </c>
    </row>
    <row r="914" spans="1:10" x14ac:dyDescent="0.3">
      <c r="A914" s="2"/>
      <c r="C914" s="1"/>
      <c r="D914" s="1"/>
      <c r="E914" t="e">
        <f>+VLOOKUP(tbl_registro[[#This Row],[Patente]],Pivot_Equipos!$A$1:$E$39,3,FALSE)</f>
        <v>#N/A</v>
      </c>
      <c r="F914" s="2" t="e">
        <f>+VLOOKUP(tbl_registro[[#This Row],[Tipo Equipo]],Pivot_Equipos!$C$1:$E$39,2,FALSE)</f>
        <v>#N/A</v>
      </c>
      <c r="J914" s="2">
        <f t="shared" si="15"/>
        <v>0</v>
      </c>
    </row>
    <row r="915" spans="1:10" x14ac:dyDescent="0.3">
      <c r="A915" s="2"/>
      <c r="C915" s="1"/>
      <c r="D915" s="1"/>
      <c r="E915" t="e">
        <f>+VLOOKUP(tbl_registro[[#This Row],[Patente]],Pivot_Equipos!$A$1:$E$39,3,FALSE)</f>
        <v>#N/A</v>
      </c>
      <c r="F915" s="2" t="e">
        <f>+VLOOKUP(tbl_registro[[#This Row],[Tipo Equipo]],Pivot_Equipos!$C$1:$E$39,2,FALSE)</f>
        <v>#N/A</v>
      </c>
      <c r="J915" s="2">
        <f t="shared" si="15"/>
        <v>0</v>
      </c>
    </row>
    <row r="916" spans="1:10" x14ac:dyDescent="0.3">
      <c r="A916" s="2"/>
      <c r="C916" s="1"/>
      <c r="D916" s="1"/>
      <c r="E916" t="e">
        <f>+VLOOKUP(tbl_registro[[#This Row],[Patente]],Pivot_Equipos!$A$1:$E$39,3,FALSE)</f>
        <v>#N/A</v>
      </c>
      <c r="F916" s="2" t="e">
        <f>+VLOOKUP(tbl_registro[[#This Row],[Tipo Equipo]],Pivot_Equipos!$C$1:$E$39,2,FALSE)</f>
        <v>#N/A</v>
      </c>
      <c r="J916" s="2">
        <f t="shared" si="15"/>
        <v>0</v>
      </c>
    </row>
    <row r="917" spans="1:10" x14ac:dyDescent="0.3">
      <c r="A917" s="2"/>
      <c r="C917" s="1"/>
      <c r="D917" s="1"/>
      <c r="E917" t="e">
        <f>+VLOOKUP(tbl_registro[[#This Row],[Patente]],Pivot_Equipos!$A$1:$E$39,3,FALSE)</f>
        <v>#N/A</v>
      </c>
      <c r="F917" s="2" t="e">
        <f>+VLOOKUP(tbl_registro[[#This Row],[Tipo Equipo]],Pivot_Equipos!$C$1:$E$39,2,FALSE)</f>
        <v>#N/A</v>
      </c>
      <c r="J917" s="2">
        <f t="shared" si="15"/>
        <v>0</v>
      </c>
    </row>
    <row r="918" spans="1:10" x14ac:dyDescent="0.3">
      <c r="A918" s="2"/>
      <c r="C918" s="1"/>
      <c r="D918" s="1"/>
      <c r="E918" t="e">
        <f>+VLOOKUP(tbl_registro[[#This Row],[Patente]],Pivot_Equipos!$A$1:$E$39,3,FALSE)</f>
        <v>#N/A</v>
      </c>
      <c r="F918" s="2" t="e">
        <f>+VLOOKUP(tbl_registro[[#This Row],[Tipo Equipo]],Pivot_Equipos!$C$1:$E$39,2,FALSE)</f>
        <v>#N/A</v>
      </c>
      <c r="J918" s="2">
        <f t="shared" si="15"/>
        <v>0</v>
      </c>
    </row>
    <row r="919" spans="1:10" x14ac:dyDescent="0.3">
      <c r="A919" s="2"/>
      <c r="C919" s="1"/>
      <c r="D919" s="1"/>
      <c r="E919" t="e">
        <f>+VLOOKUP(tbl_registro[[#This Row],[Patente]],Pivot_Equipos!$A$1:$E$39,3,FALSE)</f>
        <v>#N/A</v>
      </c>
      <c r="F919" s="2" t="e">
        <f>+VLOOKUP(tbl_registro[[#This Row],[Tipo Equipo]],Pivot_Equipos!$C$1:$E$39,2,FALSE)</f>
        <v>#N/A</v>
      </c>
      <c r="J919" s="2">
        <f t="shared" si="15"/>
        <v>0</v>
      </c>
    </row>
    <row r="920" spans="1:10" x14ac:dyDescent="0.3">
      <c r="A920" s="2"/>
      <c r="C920" s="1"/>
      <c r="D920" s="1"/>
      <c r="E920" t="e">
        <f>+VLOOKUP(tbl_registro[[#This Row],[Patente]],Pivot_Equipos!$A$1:$E$39,3,FALSE)</f>
        <v>#N/A</v>
      </c>
      <c r="F920" s="2" t="e">
        <f>+VLOOKUP(tbl_registro[[#This Row],[Tipo Equipo]],Pivot_Equipos!$C$1:$E$39,2,FALSE)</f>
        <v>#N/A</v>
      </c>
      <c r="J920" s="2">
        <f t="shared" si="15"/>
        <v>0</v>
      </c>
    </row>
    <row r="921" spans="1:10" x14ac:dyDescent="0.3">
      <c r="A921" s="2"/>
      <c r="C921" s="1"/>
      <c r="D921" s="1"/>
      <c r="E921" t="e">
        <f>+VLOOKUP(tbl_registro[[#This Row],[Patente]],Pivot_Equipos!$A$1:$E$39,3,FALSE)</f>
        <v>#N/A</v>
      </c>
      <c r="F921" s="2" t="e">
        <f>+VLOOKUP(tbl_registro[[#This Row],[Tipo Equipo]],Pivot_Equipos!$C$1:$E$39,2,FALSE)</f>
        <v>#N/A</v>
      </c>
      <c r="J921" s="2">
        <f t="shared" si="15"/>
        <v>0</v>
      </c>
    </row>
    <row r="922" spans="1:10" x14ac:dyDescent="0.3">
      <c r="A922" s="2"/>
      <c r="C922" s="1"/>
      <c r="D922" s="1"/>
      <c r="E922" t="e">
        <f>+VLOOKUP(tbl_registro[[#This Row],[Patente]],Pivot_Equipos!$A$1:$E$39,3,FALSE)</f>
        <v>#N/A</v>
      </c>
      <c r="F922" s="2" t="e">
        <f>+VLOOKUP(tbl_registro[[#This Row],[Tipo Equipo]],Pivot_Equipos!$C$1:$E$39,2,FALSE)</f>
        <v>#N/A</v>
      </c>
      <c r="J922" s="2">
        <f t="shared" si="15"/>
        <v>0</v>
      </c>
    </row>
    <row r="923" spans="1:10" x14ac:dyDescent="0.3">
      <c r="A923" s="2"/>
      <c r="C923" s="1"/>
      <c r="D923" s="1"/>
      <c r="E923" t="e">
        <f>+VLOOKUP(tbl_registro[[#This Row],[Patente]],Pivot_Equipos!$A$1:$E$39,3,FALSE)</f>
        <v>#N/A</v>
      </c>
      <c r="F923" s="2" t="e">
        <f>+VLOOKUP(tbl_registro[[#This Row],[Tipo Equipo]],Pivot_Equipos!$C$1:$E$39,2,FALSE)</f>
        <v>#N/A</v>
      </c>
      <c r="J923" s="2">
        <f t="shared" si="15"/>
        <v>0</v>
      </c>
    </row>
    <row r="924" spans="1:10" x14ac:dyDescent="0.3">
      <c r="A924" s="2"/>
      <c r="C924" s="1"/>
      <c r="D924" s="1"/>
      <c r="E924" t="e">
        <f>+VLOOKUP(tbl_registro[[#This Row],[Patente]],Pivot_Equipos!$A$1:$E$39,3,FALSE)</f>
        <v>#N/A</v>
      </c>
      <c r="F924" s="2" t="e">
        <f>+VLOOKUP(tbl_registro[[#This Row],[Tipo Equipo]],Pivot_Equipos!$C$1:$E$39,2,FALSE)</f>
        <v>#N/A</v>
      </c>
      <c r="J924" s="2">
        <f t="shared" si="15"/>
        <v>0</v>
      </c>
    </row>
    <row r="925" spans="1:10" x14ac:dyDescent="0.3">
      <c r="A925" s="2"/>
      <c r="C925" s="1"/>
      <c r="D925" s="1"/>
      <c r="E925" t="e">
        <f>+VLOOKUP(tbl_registro[[#This Row],[Patente]],Pivot_Equipos!$A$1:$E$39,3,FALSE)</f>
        <v>#N/A</v>
      </c>
      <c r="F925" s="2" t="e">
        <f>+VLOOKUP(tbl_registro[[#This Row],[Tipo Equipo]],Pivot_Equipos!$C$1:$E$39,2,FALSE)</f>
        <v>#N/A</v>
      </c>
      <c r="J925" s="2">
        <f t="shared" si="15"/>
        <v>0</v>
      </c>
    </row>
    <row r="926" spans="1:10" x14ac:dyDescent="0.3">
      <c r="A926" s="2"/>
      <c r="C926" s="1"/>
      <c r="D926" s="1"/>
      <c r="E926" t="e">
        <f>+VLOOKUP(tbl_registro[[#This Row],[Patente]],Pivot_Equipos!$A$1:$E$39,3,FALSE)</f>
        <v>#N/A</v>
      </c>
      <c r="F926" s="2" t="e">
        <f>+VLOOKUP(tbl_registro[[#This Row],[Tipo Equipo]],Pivot_Equipos!$C$1:$E$39,2,FALSE)</f>
        <v>#N/A</v>
      </c>
      <c r="J926" s="2">
        <f t="shared" si="15"/>
        <v>0</v>
      </c>
    </row>
    <row r="927" spans="1:10" x14ac:dyDescent="0.3">
      <c r="A927" s="2"/>
      <c r="C927" s="1"/>
      <c r="D927" s="1"/>
      <c r="E927" t="e">
        <f>+VLOOKUP(tbl_registro[[#This Row],[Patente]],Pivot_Equipos!$A$1:$E$39,3,FALSE)</f>
        <v>#N/A</v>
      </c>
      <c r="F927" s="2" t="e">
        <f>+VLOOKUP(tbl_registro[[#This Row],[Tipo Equipo]],Pivot_Equipos!$C$1:$E$39,2,FALSE)</f>
        <v>#N/A</v>
      </c>
      <c r="J927" s="2">
        <f t="shared" si="15"/>
        <v>0</v>
      </c>
    </row>
    <row r="928" spans="1:10" x14ac:dyDescent="0.3">
      <c r="A928" s="2"/>
      <c r="C928" s="1"/>
      <c r="D928" s="1"/>
      <c r="E928" t="e">
        <f>+VLOOKUP(tbl_registro[[#This Row],[Patente]],Pivot_Equipos!$A$1:$E$39,3,FALSE)</f>
        <v>#N/A</v>
      </c>
      <c r="F928" s="2" t="e">
        <f>+VLOOKUP(tbl_registro[[#This Row],[Tipo Equipo]],Pivot_Equipos!$C$1:$E$39,2,FALSE)</f>
        <v>#N/A</v>
      </c>
      <c r="J928" s="2">
        <f t="shared" si="15"/>
        <v>0</v>
      </c>
    </row>
    <row r="929" spans="1:10" x14ac:dyDescent="0.3">
      <c r="A929" s="2"/>
      <c r="C929" s="1"/>
      <c r="D929" s="1"/>
      <c r="E929" t="e">
        <f>+VLOOKUP(tbl_registro[[#This Row],[Patente]],Pivot_Equipos!$A$1:$E$39,3,FALSE)</f>
        <v>#N/A</v>
      </c>
      <c r="F929" s="2" t="e">
        <f>+VLOOKUP(tbl_registro[[#This Row],[Tipo Equipo]],Pivot_Equipos!$C$1:$E$39,2,FALSE)</f>
        <v>#N/A</v>
      </c>
      <c r="J929" s="2">
        <f t="shared" si="15"/>
        <v>0</v>
      </c>
    </row>
    <row r="930" spans="1:10" x14ac:dyDescent="0.3">
      <c r="A930" s="2"/>
      <c r="C930" s="1"/>
      <c r="D930" s="1"/>
      <c r="E930" t="e">
        <f>+VLOOKUP(tbl_registro[[#This Row],[Patente]],Pivot_Equipos!$A$1:$E$39,3,FALSE)</f>
        <v>#N/A</v>
      </c>
      <c r="F930" s="2" t="e">
        <f>+VLOOKUP(tbl_registro[[#This Row],[Tipo Equipo]],Pivot_Equipos!$C$1:$E$39,2,FALSE)</f>
        <v>#N/A</v>
      </c>
      <c r="J930" s="2">
        <f t="shared" si="15"/>
        <v>0</v>
      </c>
    </row>
    <row r="931" spans="1:10" x14ac:dyDescent="0.3">
      <c r="A931" s="2"/>
      <c r="C931" s="1"/>
      <c r="D931" s="1"/>
      <c r="E931" t="e">
        <f>+VLOOKUP(tbl_registro[[#This Row],[Patente]],Pivot_Equipos!$A$1:$E$39,3,FALSE)</f>
        <v>#N/A</v>
      </c>
      <c r="F931" s="2" t="e">
        <f>+VLOOKUP(tbl_registro[[#This Row],[Tipo Equipo]],Pivot_Equipos!$C$1:$E$39,2,FALSE)</f>
        <v>#N/A</v>
      </c>
      <c r="J931" s="2">
        <f t="shared" si="15"/>
        <v>0</v>
      </c>
    </row>
    <row r="932" spans="1:10" x14ac:dyDescent="0.3">
      <c r="A932" s="2"/>
      <c r="C932" s="1"/>
      <c r="D932" s="1"/>
      <c r="E932" t="e">
        <f>+VLOOKUP(tbl_registro[[#This Row],[Patente]],Pivot_Equipos!$A$1:$E$39,3,FALSE)</f>
        <v>#N/A</v>
      </c>
      <c r="F932" s="2" t="e">
        <f>+VLOOKUP(tbl_registro[[#This Row],[Tipo Equipo]],Pivot_Equipos!$C$1:$E$39,2,FALSE)</f>
        <v>#N/A</v>
      </c>
      <c r="J932" s="2">
        <f t="shared" si="15"/>
        <v>0</v>
      </c>
    </row>
    <row r="933" spans="1:10" x14ac:dyDescent="0.3">
      <c r="A933" s="2"/>
      <c r="C933" s="1"/>
      <c r="D933" s="1"/>
      <c r="E933" t="e">
        <f>+VLOOKUP(tbl_registro[[#This Row],[Patente]],Pivot_Equipos!$A$1:$E$39,3,FALSE)</f>
        <v>#N/A</v>
      </c>
      <c r="F933" s="2" t="e">
        <f>+VLOOKUP(tbl_registro[[#This Row],[Tipo Equipo]],Pivot_Equipos!$C$1:$E$39,2,FALSE)</f>
        <v>#N/A</v>
      </c>
      <c r="J933" s="2">
        <f t="shared" si="15"/>
        <v>0</v>
      </c>
    </row>
    <row r="934" spans="1:10" x14ac:dyDescent="0.3">
      <c r="A934" s="2"/>
      <c r="C934" s="1"/>
      <c r="D934" s="1"/>
      <c r="E934" t="e">
        <f>+VLOOKUP(tbl_registro[[#This Row],[Patente]],Pivot_Equipos!$A$1:$E$39,3,FALSE)</f>
        <v>#N/A</v>
      </c>
      <c r="F934" s="2" t="e">
        <f>+VLOOKUP(tbl_registro[[#This Row],[Tipo Equipo]],Pivot_Equipos!$C$1:$E$39,2,FALSE)</f>
        <v>#N/A</v>
      </c>
      <c r="J934" s="2">
        <f t="shared" si="15"/>
        <v>0</v>
      </c>
    </row>
    <row r="935" spans="1:10" x14ac:dyDescent="0.3">
      <c r="A935" s="2"/>
      <c r="C935" s="1"/>
      <c r="D935" s="1"/>
      <c r="E935" t="e">
        <f>+VLOOKUP(tbl_registro[[#This Row],[Patente]],Pivot_Equipos!$A$1:$E$39,3,FALSE)</f>
        <v>#N/A</v>
      </c>
      <c r="F935" s="2" t="e">
        <f>+VLOOKUP(tbl_registro[[#This Row],[Tipo Equipo]],Pivot_Equipos!$C$1:$E$39,2,FALSE)</f>
        <v>#N/A</v>
      </c>
      <c r="J935" s="2">
        <f t="shared" si="15"/>
        <v>0</v>
      </c>
    </row>
    <row r="936" spans="1:10" x14ac:dyDescent="0.3">
      <c r="A936" s="2"/>
      <c r="C936" s="1"/>
      <c r="D936" s="1"/>
      <c r="E936" t="e">
        <f>+VLOOKUP(tbl_registro[[#This Row],[Patente]],Pivot_Equipos!$A$1:$E$39,3,FALSE)</f>
        <v>#N/A</v>
      </c>
      <c r="F936" s="2" t="e">
        <f>+VLOOKUP(tbl_registro[[#This Row],[Tipo Equipo]],Pivot_Equipos!$C$1:$E$39,2,FALSE)</f>
        <v>#N/A</v>
      </c>
      <c r="J936" s="2">
        <f t="shared" si="15"/>
        <v>0</v>
      </c>
    </row>
    <row r="937" spans="1:10" x14ac:dyDescent="0.3">
      <c r="A937" s="2"/>
      <c r="C937" s="1"/>
      <c r="D937" s="1"/>
      <c r="E937" t="e">
        <f>+VLOOKUP(tbl_registro[[#This Row],[Patente]],Pivot_Equipos!$A$1:$E$39,3,FALSE)</f>
        <v>#N/A</v>
      </c>
      <c r="F937" s="2" t="e">
        <f>+VLOOKUP(tbl_registro[[#This Row],[Tipo Equipo]],Pivot_Equipos!$C$1:$E$39,2,FALSE)</f>
        <v>#N/A</v>
      </c>
      <c r="J937" s="2">
        <f t="shared" si="15"/>
        <v>0</v>
      </c>
    </row>
    <row r="938" spans="1:10" x14ac:dyDescent="0.3">
      <c r="A938" s="2"/>
      <c r="C938" s="1"/>
      <c r="D938" s="1"/>
      <c r="E938" t="e">
        <f>+VLOOKUP(tbl_registro[[#This Row],[Patente]],Pivot_Equipos!$A$1:$E$39,3,FALSE)</f>
        <v>#N/A</v>
      </c>
      <c r="F938" s="2" t="e">
        <f>+VLOOKUP(tbl_registro[[#This Row],[Tipo Equipo]],Pivot_Equipos!$C$1:$E$39,2,FALSE)</f>
        <v>#N/A</v>
      </c>
      <c r="J938" s="2">
        <f t="shared" si="15"/>
        <v>0</v>
      </c>
    </row>
    <row r="939" spans="1:10" x14ac:dyDescent="0.3">
      <c r="A939" s="2"/>
      <c r="C939" s="1"/>
      <c r="D939" s="1"/>
      <c r="E939" t="e">
        <f>+VLOOKUP(tbl_registro[[#This Row],[Patente]],Pivot_Equipos!$A$1:$E$39,3,FALSE)</f>
        <v>#N/A</v>
      </c>
      <c r="F939" s="2" t="e">
        <f>+VLOOKUP(tbl_registro[[#This Row],[Tipo Equipo]],Pivot_Equipos!$C$1:$E$39,2,FALSE)</f>
        <v>#N/A</v>
      </c>
      <c r="J939" s="2">
        <f t="shared" si="15"/>
        <v>0</v>
      </c>
    </row>
    <row r="940" spans="1:10" x14ac:dyDescent="0.3">
      <c r="A940" s="2"/>
      <c r="C940" s="1"/>
      <c r="D940" s="1"/>
      <c r="E940" t="e">
        <f>+VLOOKUP(tbl_registro[[#This Row],[Patente]],Pivot_Equipos!$A$1:$E$39,3,FALSE)</f>
        <v>#N/A</v>
      </c>
      <c r="F940" s="2" t="e">
        <f>+VLOOKUP(tbl_registro[[#This Row],[Tipo Equipo]],Pivot_Equipos!$C$1:$E$39,2,FALSE)</f>
        <v>#N/A</v>
      </c>
      <c r="J940" s="2">
        <f t="shared" si="15"/>
        <v>0</v>
      </c>
    </row>
    <row r="941" spans="1:10" x14ac:dyDescent="0.3">
      <c r="A941" s="2"/>
      <c r="C941" s="1"/>
      <c r="D941" s="1"/>
      <c r="E941" t="e">
        <f>+VLOOKUP(tbl_registro[[#This Row],[Patente]],Pivot_Equipos!$A$1:$E$39,3,FALSE)</f>
        <v>#N/A</v>
      </c>
      <c r="F941" s="2" t="e">
        <f>+VLOOKUP(tbl_registro[[#This Row],[Tipo Equipo]],Pivot_Equipos!$C$1:$E$39,2,FALSE)</f>
        <v>#N/A</v>
      </c>
      <c r="J941" s="2">
        <f t="shared" si="15"/>
        <v>0</v>
      </c>
    </row>
    <row r="942" spans="1:10" x14ac:dyDescent="0.3">
      <c r="A942" s="2"/>
      <c r="C942" s="1"/>
      <c r="D942" s="1"/>
      <c r="E942" t="e">
        <f>+VLOOKUP(tbl_registro[[#This Row],[Patente]],Pivot_Equipos!$A$1:$E$39,3,FALSE)</f>
        <v>#N/A</v>
      </c>
      <c r="F942" s="2" t="e">
        <f>+VLOOKUP(tbl_registro[[#This Row],[Tipo Equipo]],Pivot_Equipos!$C$1:$E$39,2,FALSE)</f>
        <v>#N/A</v>
      </c>
      <c r="J942" s="2">
        <f t="shared" si="15"/>
        <v>0</v>
      </c>
    </row>
    <row r="943" spans="1:10" x14ac:dyDescent="0.3">
      <c r="A943" s="2"/>
      <c r="C943" s="1"/>
      <c r="D943" s="1"/>
      <c r="E943" t="e">
        <f>+VLOOKUP(tbl_registro[[#This Row],[Patente]],Pivot_Equipos!$A$1:$E$39,3,FALSE)</f>
        <v>#N/A</v>
      </c>
      <c r="F943" s="2" t="e">
        <f>+VLOOKUP(tbl_registro[[#This Row],[Tipo Equipo]],Pivot_Equipos!$C$1:$E$39,2,FALSE)</f>
        <v>#N/A</v>
      </c>
      <c r="J943" s="2">
        <f t="shared" si="15"/>
        <v>0</v>
      </c>
    </row>
    <row r="944" spans="1:10" x14ac:dyDescent="0.3">
      <c r="A944" s="2"/>
      <c r="C944" s="1"/>
      <c r="D944" s="1"/>
      <c r="E944" t="e">
        <f>+VLOOKUP(tbl_registro[[#This Row],[Patente]],Pivot_Equipos!$A$1:$E$39,3,FALSE)</f>
        <v>#N/A</v>
      </c>
      <c r="F944" s="2" t="e">
        <f>+VLOOKUP(tbl_registro[[#This Row],[Tipo Equipo]],Pivot_Equipos!$C$1:$E$39,2,FALSE)</f>
        <v>#N/A</v>
      </c>
      <c r="J944" s="2">
        <f t="shared" si="15"/>
        <v>0</v>
      </c>
    </row>
    <row r="945" spans="1:10" x14ac:dyDescent="0.3">
      <c r="A945" s="2"/>
      <c r="C945" s="1"/>
      <c r="D945" s="1"/>
      <c r="E945" t="e">
        <f>+VLOOKUP(tbl_registro[[#This Row],[Patente]],Pivot_Equipos!$A$1:$E$39,3,FALSE)</f>
        <v>#N/A</v>
      </c>
      <c r="F945" s="2" t="e">
        <f>+VLOOKUP(tbl_registro[[#This Row],[Tipo Equipo]],Pivot_Equipos!$C$1:$E$39,2,FALSE)</f>
        <v>#N/A</v>
      </c>
      <c r="J945" s="2">
        <f t="shared" si="15"/>
        <v>0</v>
      </c>
    </row>
    <row r="946" spans="1:10" x14ac:dyDescent="0.3">
      <c r="A946" s="2"/>
      <c r="C946" s="1"/>
      <c r="D946" s="1"/>
      <c r="E946" t="e">
        <f>+VLOOKUP(tbl_registro[[#This Row],[Patente]],Pivot_Equipos!$A$1:$E$39,3,FALSE)</f>
        <v>#N/A</v>
      </c>
      <c r="F946" s="2" t="e">
        <f>+VLOOKUP(tbl_registro[[#This Row],[Tipo Equipo]],Pivot_Equipos!$C$1:$E$39,2,FALSE)</f>
        <v>#N/A</v>
      </c>
      <c r="J946" s="2">
        <f t="shared" si="15"/>
        <v>0</v>
      </c>
    </row>
    <row r="947" spans="1:10" x14ac:dyDescent="0.3">
      <c r="A947" s="2"/>
      <c r="C947" s="1"/>
      <c r="D947" s="1"/>
      <c r="E947" t="e">
        <f>+VLOOKUP(tbl_registro[[#This Row],[Patente]],Pivot_Equipos!$A$1:$E$39,3,FALSE)</f>
        <v>#N/A</v>
      </c>
      <c r="F947" s="2" t="e">
        <f>+VLOOKUP(tbl_registro[[#This Row],[Tipo Equipo]],Pivot_Equipos!$C$1:$E$39,2,FALSE)</f>
        <v>#N/A</v>
      </c>
      <c r="J947" s="2">
        <f t="shared" si="15"/>
        <v>0</v>
      </c>
    </row>
    <row r="948" spans="1:10" x14ac:dyDescent="0.3">
      <c r="A948" s="2"/>
      <c r="C948" s="1"/>
      <c r="D948" s="1"/>
      <c r="E948" t="e">
        <f>+VLOOKUP(tbl_registro[[#This Row],[Patente]],Pivot_Equipos!$A$1:$E$39,3,FALSE)</f>
        <v>#N/A</v>
      </c>
      <c r="F948" s="2" t="e">
        <f>+VLOOKUP(tbl_registro[[#This Row],[Tipo Equipo]],Pivot_Equipos!$C$1:$E$39,2,FALSE)</f>
        <v>#N/A</v>
      </c>
      <c r="J948" s="2">
        <f t="shared" si="15"/>
        <v>0</v>
      </c>
    </row>
    <row r="949" spans="1:10" x14ac:dyDescent="0.3">
      <c r="A949" s="2"/>
      <c r="C949" s="1"/>
      <c r="D949" s="1"/>
      <c r="E949" t="e">
        <f>+VLOOKUP(tbl_registro[[#This Row],[Patente]],Pivot_Equipos!$A$1:$E$39,3,FALSE)</f>
        <v>#N/A</v>
      </c>
      <c r="F949" s="2" t="e">
        <f>+VLOOKUP(tbl_registro[[#This Row],[Tipo Equipo]],Pivot_Equipos!$C$1:$E$39,2,FALSE)</f>
        <v>#N/A</v>
      </c>
      <c r="J949" s="2">
        <f t="shared" si="15"/>
        <v>0</v>
      </c>
    </row>
    <row r="950" spans="1:10" x14ac:dyDescent="0.3">
      <c r="A950" s="2"/>
      <c r="C950" s="1"/>
      <c r="D950" s="1"/>
      <c r="E950" t="e">
        <f>+VLOOKUP(tbl_registro[[#This Row],[Patente]],Pivot_Equipos!$A$1:$E$39,3,FALSE)</f>
        <v>#N/A</v>
      </c>
      <c r="F950" s="2" t="e">
        <f>+VLOOKUP(tbl_registro[[#This Row],[Tipo Equipo]],Pivot_Equipos!$C$1:$E$39,2,FALSE)</f>
        <v>#N/A</v>
      </c>
      <c r="J950" s="2">
        <f t="shared" si="15"/>
        <v>0</v>
      </c>
    </row>
    <row r="951" spans="1:10" x14ac:dyDescent="0.3">
      <c r="A951" s="2"/>
      <c r="C951" s="1"/>
      <c r="D951" s="1"/>
      <c r="E951" t="e">
        <f>+VLOOKUP(tbl_registro[[#This Row],[Patente]],Pivot_Equipos!$A$1:$E$39,3,FALSE)</f>
        <v>#N/A</v>
      </c>
      <c r="F951" s="2" t="e">
        <f>+VLOOKUP(tbl_registro[[#This Row],[Tipo Equipo]],Pivot_Equipos!$C$1:$E$39,2,FALSE)</f>
        <v>#N/A</v>
      </c>
      <c r="J951" s="2">
        <f t="shared" si="15"/>
        <v>0</v>
      </c>
    </row>
    <row r="952" spans="1:10" x14ac:dyDescent="0.3">
      <c r="A952" s="2"/>
      <c r="C952" s="1"/>
      <c r="D952" s="1"/>
      <c r="E952" t="e">
        <f>+VLOOKUP(tbl_registro[[#This Row],[Patente]],Pivot_Equipos!$A$1:$E$39,3,FALSE)</f>
        <v>#N/A</v>
      </c>
      <c r="F952" s="2" t="e">
        <f>+VLOOKUP(tbl_registro[[#This Row],[Tipo Equipo]],Pivot_Equipos!$C$1:$E$39,2,FALSE)</f>
        <v>#N/A</v>
      </c>
      <c r="J952" s="2">
        <f t="shared" si="15"/>
        <v>0</v>
      </c>
    </row>
    <row r="953" spans="1:10" x14ac:dyDescent="0.3">
      <c r="A953" s="2"/>
      <c r="C953" s="1"/>
      <c r="D953" s="1"/>
      <c r="E953" t="e">
        <f>+VLOOKUP(tbl_registro[[#This Row],[Patente]],Pivot_Equipos!$A$1:$E$39,3,FALSE)</f>
        <v>#N/A</v>
      </c>
      <c r="F953" s="2" t="e">
        <f>+VLOOKUP(tbl_registro[[#This Row],[Tipo Equipo]],Pivot_Equipos!$C$1:$E$39,2,FALSE)</f>
        <v>#N/A</v>
      </c>
      <c r="J953" s="2">
        <f t="shared" si="15"/>
        <v>0</v>
      </c>
    </row>
    <row r="954" spans="1:10" x14ac:dyDescent="0.3">
      <c r="A954" s="2"/>
      <c r="C954" s="1"/>
      <c r="D954" s="1"/>
      <c r="E954" t="e">
        <f>+VLOOKUP(tbl_registro[[#This Row],[Patente]],Pivot_Equipos!$A$1:$E$39,3,FALSE)</f>
        <v>#N/A</v>
      </c>
      <c r="F954" s="2" t="e">
        <f>+VLOOKUP(tbl_registro[[#This Row],[Tipo Equipo]],Pivot_Equipos!$C$1:$E$39,2,FALSE)</f>
        <v>#N/A</v>
      </c>
      <c r="J954" s="2">
        <f t="shared" si="15"/>
        <v>0</v>
      </c>
    </row>
    <row r="955" spans="1:10" x14ac:dyDescent="0.3">
      <c r="A955" s="2"/>
      <c r="C955" s="1"/>
      <c r="D955" s="1"/>
      <c r="E955" t="e">
        <f>+VLOOKUP(tbl_registro[[#This Row],[Patente]],Pivot_Equipos!$A$1:$E$39,3,FALSE)</f>
        <v>#N/A</v>
      </c>
      <c r="F955" s="2" t="e">
        <f>+VLOOKUP(tbl_registro[[#This Row],[Tipo Equipo]],Pivot_Equipos!$C$1:$E$39,2,FALSE)</f>
        <v>#N/A</v>
      </c>
      <c r="J955" s="2">
        <f t="shared" si="15"/>
        <v>0</v>
      </c>
    </row>
    <row r="956" spans="1:10" x14ac:dyDescent="0.3">
      <c r="A956" s="2"/>
      <c r="C956" s="1"/>
      <c r="D956" s="1"/>
      <c r="E956" t="e">
        <f>+VLOOKUP(tbl_registro[[#This Row],[Patente]],Pivot_Equipos!$A$1:$E$39,3,FALSE)</f>
        <v>#N/A</v>
      </c>
      <c r="F956" s="2" t="e">
        <f>+VLOOKUP(tbl_registro[[#This Row],[Tipo Equipo]],Pivot_Equipos!$C$1:$E$39,2,FALSE)</f>
        <v>#N/A</v>
      </c>
      <c r="J956" s="2">
        <f t="shared" si="15"/>
        <v>0</v>
      </c>
    </row>
    <row r="957" spans="1:10" x14ac:dyDescent="0.3">
      <c r="A957" s="2"/>
      <c r="C957" s="1"/>
      <c r="D957" s="1"/>
      <c r="E957" t="e">
        <f>+VLOOKUP(tbl_registro[[#This Row],[Patente]],Pivot_Equipos!$A$1:$E$39,3,FALSE)</f>
        <v>#N/A</v>
      </c>
      <c r="F957" s="2" t="e">
        <f>+VLOOKUP(tbl_registro[[#This Row],[Tipo Equipo]],Pivot_Equipos!$C$1:$E$39,2,FALSE)</f>
        <v>#N/A</v>
      </c>
      <c r="J957" s="2">
        <f t="shared" si="15"/>
        <v>0</v>
      </c>
    </row>
    <row r="958" spans="1:10" x14ac:dyDescent="0.3">
      <c r="A958" s="2"/>
      <c r="C958" s="1"/>
      <c r="D958" s="1"/>
      <c r="E958" t="e">
        <f>+VLOOKUP(tbl_registro[[#This Row],[Patente]],Pivot_Equipos!$A$1:$E$39,3,FALSE)</f>
        <v>#N/A</v>
      </c>
      <c r="F958" s="2" t="e">
        <f>+VLOOKUP(tbl_registro[[#This Row],[Tipo Equipo]],Pivot_Equipos!$C$1:$E$39,2,FALSE)</f>
        <v>#N/A</v>
      </c>
      <c r="J958" s="2">
        <f t="shared" si="15"/>
        <v>0</v>
      </c>
    </row>
    <row r="959" spans="1:10" x14ac:dyDescent="0.3">
      <c r="A959" s="2"/>
      <c r="C959" s="1"/>
      <c r="D959" s="1"/>
      <c r="E959" t="e">
        <f>+VLOOKUP(tbl_registro[[#This Row],[Patente]],Pivot_Equipos!$A$1:$E$39,3,FALSE)</f>
        <v>#N/A</v>
      </c>
      <c r="F959" s="2" t="e">
        <f>+VLOOKUP(tbl_registro[[#This Row],[Tipo Equipo]],Pivot_Equipos!$C$1:$E$39,2,FALSE)</f>
        <v>#N/A</v>
      </c>
      <c r="J959" s="2">
        <f t="shared" si="15"/>
        <v>0</v>
      </c>
    </row>
    <row r="960" spans="1:10" x14ac:dyDescent="0.3">
      <c r="A960" s="2"/>
      <c r="C960" s="1"/>
      <c r="D960" s="1"/>
      <c r="E960" t="e">
        <f>+VLOOKUP(tbl_registro[[#This Row],[Patente]],Pivot_Equipos!$A$1:$E$39,3,FALSE)</f>
        <v>#N/A</v>
      </c>
      <c r="F960" s="2" t="e">
        <f>+VLOOKUP(tbl_registro[[#This Row],[Tipo Equipo]],Pivot_Equipos!$C$1:$E$39,2,FALSE)</f>
        <v>#N/A</v>
      </c>
      <c r="J960" s="2">
        <f t="shared" si="15"/>
        <v>0</v>
      </c>
    </row>
    <row r="961" spans="1:10" x14ac:dyDescent="0.3">
      <c r="A961" s="2"/>
      <c r="C961" s="1"/>
      <c r="D961" s="1"/>
      <c r="E961" t="e">
        <f>+VLOOKUP(tbl_registro[[#This Row],[Patente]],Pivot_Equipos!$A$1:$E$39,3,FALSE)</f>
        <v>#N/A</v>
      </c>
      <c r="F961" s="2" t="e">
        <f>+VLOOKUP(tbl_registro[[#This Row],[Tipo Equipo]],Pivot_Equipos!$C$1:$E$39,2,FALSE)</f>
        <v>#N/A</v>
      </c>
      <c r="J961" s="2">
        <f t="shared" si="15"/>
        <v>0</v>
      </c>
    </row>
    <row r="962" spans="1:10" x14ac:dyDescent="0.3">
      <c r="A962" s="2"/>
      <c r="C962" s="1"/>
      <c r="D962" s="1"/>
      <c r="E962" t="e">
        <f>+VLOOKUP(tbl_registro[[#This Row],[Patente]],Pivot_Equipos!$A$1:$E$39,3,FALSE)</f>
        <v>#N/A</v>
      </c>
      <c r="F962" s="2" t="e">
        <f>+VLOOKUP(tbl_registro[[#This Row],[Tipo Equipo]],Pivot_Equipos!$C$1:$E$39,2,FALSE)</f>
        <v>#N/A</v>
      </c>
      <c r="J962" s="2">
        <f t="shared" ref="J962:J1000" si="16">I962-H962</f>
        <v>0</v>
      </c>
    </row>
    <row r="963" spans="1:10" x14ac:dyDescent="0.3">
      <c r="A963" s="2"/>
      <c r="C963" s="1"/>
      <c r="D963" s="1"/>
      <c r="E963" t="e">
        <f>+VLOOKUP(tbl_registro[[#This Row],[Patente]],Pivot_Equipos!$A$1:$E$39,3,FALSE)</f>
        <v>#N/A</v>
      </c>
      <c r="F963" s="2" t="e">
        <f>+VLOOKUP(tbl_registro[[#This Row],[Tipo Equipo]],Pivot_Equipos!$C$1:$E$39,2,FALSE)</f>
        <v>#N/A</v>
      </c>
      <c r="J963" s="2">
        <f t="shared" si="16"/>
        <v>0</v>
      </c>
    </row>
    <row r="964" spans="1:10" x14ac:dyDescent="0.3">
      <c r="A964" s="2"/>
      <c r="C964" s="1"/>
      <c r="D964" s="1"/>
      <c r="E964" t="e">
        <f>+VLOOKUP(tbl_registro[[#This Row],[Patente]],Pivot_Equipos!$A$1:$E$39,3,FALSE)</f>
        <v>#N/A</v>
      </c>
      <c r="F964" s="2" t="e">
        <f>+VLOOKUP(tbl_registro[[#This Row],[Tipo Equipo]],Pivot_Equipos!$C$1:$E$39,2,FALSE)</f>
        <v>#N/A</v>
      </c>
      <c r="J964" s="2">
        <f t="shared" si="16"/>
        <v>0</v>
      </c>
    </row>
    <row r="965" spans="1:10" x14ac:dyDescent="0.3">
      <c r="A965" s="2"/>
      <c r="C965" s="1"/>
      <c r="D965" s="1"/>
      <c r="E965" t="e">
        <f>+VLOOKUP(tbl_registro[[#This Row],[Patente]],Pivot_Equipos!$A$1:$E$39,3,FALSE)</f>
        <v>#N/A</v>
      </c>
      <c r="F965" s="2" t="e">
        <f>+VLOOKUP(tbl_registro[[#This Row],[Tipo Equipo]],Pivot_Equipos!$C$1:$E$39,2,FALSE)</f>
        <v>#N/A</v>
      </c>
      <c r="J965" s="2">
        <f t="shared" si="16"/>
        <v>0</v>
      </c>
    </row>
    <row r="966" spans="1:10" x14ac:dyDescent="0.3">
      <c r="A966" s="2"/>
      <c r="C966" s="1"/>
      <c r="D966" s="1"/>
      <c r="E966" t="e">
        <f>+VLOOKUP(tbl_registro[[#This Row],[Patente]],Pivot_Equipos!$A$1:$E$39,3,FALSE)</f>
        <v>#N/A</v>
      </c>
      <c r="F966" s="2" t="e">
        <f>+VLOOKUP(tbl_registro[[#This Row],[Tipo Equipo]],Pivot_Equipos!$C$1:$E$39,2,FALSE)</f>
        <v>#N/A</v>
      </c>
      <c r="J966" s="2">
        <f t="shared" si="16"/>
        <v>0</v>
      </c>
    </row>
    <row r="967" spans="1:10" x14ac:dyDescent="0.3">
      <c r="A967" s="2"/>
      <c r="C967" s="1"/>
      <c r="D967" s="1"/>
      <c r="E967" t="e">
        <f>+VLOOKUP(tbl_registro[[#This Row],[Patente]],Pivot_Equipos!$A$1:$E$39,3,FALSE)</f>
        <v>#N/A</v>
      </c>
      <c r="F967" s="2" t="e">
        <f>+VLOOKUP(tbl_registro[[#This Row],[Tipo Equipo]],Pivot_Equipos!$C$1:$E$39,2,FALSE)</f>
        <v>#N/A</v>
      </c>
      <c r="J967" s="2">
        <f t="shared" si="16"/>
        <v>0</v>
      </c>
    </row>
    <row r="968" spans="1:10" x14ac:dyDescent="0.3">
      <c r="A968" s="2"/>
      <c r="C968" s="1"/>
      <c r="D968" s="1"/>
      <c r="E968" t="e">
        <f>+VLOOKUP(tbl_registro[[#This Row],[Patente]],Pivot_Equipos!$A$1:$E$39,3,FALSE)</f>
        <v>#N/A</v>
      </c>
      <c r="F968" s="2" t="e">
        <f>+VLOOKUP(tbl_registro[[#This Row],[Tipo Equipo]],Pivot_Equipos!$C$1:$E$39,2,FALSE)</f>
        <v>#N/A</v>
      </c>
      <c r="J968" s="2">
        <f t="shared" si="16"/>
        <v>0</v>
      </c>
    </row>
    <row r="969" spans="1:10" x14ac:dyDescent="0.3">
      <c r="A969" s="2"/>
      <c r="C969" s="1"/>
      <c r="D969" s="1"/>
      <c r="E969" t="e">
        <f>+VLOOKUP(tbl_registro[[#This Row],[Patente]],Pivot_Equipos!$A$1:$E$39,3,FALSE)</f>
        <v>#N/A</v>
      </c>
      <c r="F969" s="2" t="e">
        <f>+VLOOKUP(tbl_registro[[#This Row],[Tipo Equipo]],Pivot_Equipos!$C$1:$E$39,2,FALSE)</f>
        <v>#N/A</v>
      </c>
      <c r="J969" s="2">
        <f t="shared" si="16"/>
        <v>0</v>
      </c>
    </row>
    <row r="970" spans="1:10" x14ac:dyDescent="0.3">
      <c r="A970" s="2"/>
      <c r="C970" s="1"/>
      <c r="D970" s="1"/>
      <c r="E970" t="e">
        <f>+VLOOKUP(tbl_registro[[#This Row],[Patente]],Pivot_Equipos!$A$1:$E$39,3,FALSE)</f>
        <v>#N/A</v>
      </c>
      <c r="F970" s="2" t="e">
        <f>+VLOOKUP(tbl_registro[[#This Row],[Tipo Equipo]],Pivot_Equipos!$C$1:$E$39,2,FALSE)</f>
        <v>#N/A</v>
      </c>
      <c r="J970" s="2">
        <f t="shared" si="16"/>
        <v>0</v>
      </c>
    </row>
    <row r="971" spans="1:10" x14ac:dyDescent="0.3">
      <c r="A971" s="2"/>
      <c r="C971" s="1"/>
      <c r="D971" s="1"/>
      <c r="E971" t="e">
        <f>+VLOOKUP(tbl_registro[[#This Row],[Patente]],Pivot_Equipos!$A$1:$E$39,3,FALSE)</f>
        <v>#N/A</v>
      </c>
      <c r="F971" s="2" t="e">
        <f>+VLOOKUP(tbl_registro[[#This Row],[Tipo Equipo]],Pivot_Equipos!$C$1:$E$39,2,FALSE)</f>
        <v>#N/A</v>
      </c>
      <c r="J971" s="2">
        <f t="shared" si="16"/>
        <v>0</v>
      </c>
    </row>
    <row r="972" spans="1:10" x14ac:dyDescent="0.3">
      <c r="A972" s="2"/>
      <c r="C972" s="1"/>
      <c r="D972" s="1"/>
      <c r="E972" t="e">
        <f>+VLOOKUP(tbl_registro[[#This Row],[Patente]],Pivot_Equipos!$A$1:$E$39,3,FALSE)</f>
        <v>#N/A</v>
      </c>
      <c r="F972" s="2" t="e">
        <f>+VLOOKUP(tbl_registro[[#This Row],[Tipo Equipo]],Pivot_Equipos!$C$1:$E$39,2,FALSE)</f>
        <v>#N/A</v>
      </c>
      <c r="J972" s="2">
        <f t="shared" si="16"/>
        <v>0</v>
      </c>
    </row>
    <row r="973" spans="1:10" x14ac:dyDescent="0.3">
      <c r="A973" s="2"/>
      <c r="C973" s="1"/>
      <c r="D973" s="1"/>
      <c r="E973" t="e">
        <f>+VLOOKUP(tbl_registro[[#This Row],[Patente]],Pivot_Equipos!$A$1:$E$39,3,FALSE)</f>
        <v>#N/A</v>
      </c>
      <c r="F973" s="2" t="e">
        <f>+VLOOKUP(tbl_registro[[#This Row],[Tipo Equipo]],Pivot_Equipos!$C$1:$E$39,2,FALSE)</f>
        <v>#N/A</v>
      </c>
      <c r="J973" s="2">
        <f t="shared" si="16"/>
        <v>0</v>
      </c>
    </row>
    <row r="974" spans="1:10" x14ac:dyDescent="0.3">
      <c r="A974" s="2"/>
      <c r="C974" s="1"/>
      <c r="D974" s="1"/>
      <c r="E974" t="e">
        <f>+VLOOKUP(tbl_registro[[#This Row],[Patente]],Pivot_Equipos!$A$1:$E$39,3,FALSE)</f>
        <v>#N/A</v>
      </c>
      <c r="F974" s="2" t="e">
        <f>+VLOOKUP(tbl_registro[[#This Row],[Tipo Equipo]],Pivot_Equipos!$C$1:$E$39,2,FALSE)</f>
        <v>#N/A</v>
      </c>
      <c r="J974" s="2">
        <f t="shared" si="16"/>
        <v>0</v>
      </c>
    </row>
    <row r="975" spans="1:10" x14ac:dyDescent="0.3">
      <c r="A975" s="2"/>
      <c r="C975" s="1"/>
      <c r="D975" s="1"/>
      <c r="E975" t="e">
        <f>+VLOOKUP(tbl_registro[[#This Row],[Patente]],Pivot_Equipos!$A$1:$E$39,3,FALSE)</f>
        <v>#N/A</v>
      </c>
      <c r="F975" s="2" t="e">
        <f>+VLOOKUP(tbl_registro[[#This Row],[Tipo Equipo]],Pivot_Equipos!$C$1:$E$39,2,FALSE)</f>
        <v>#N/A</v>
      </c>
      <c r="J975" s="2">
        <f t="shared" si="16"/>
        <v>0</v>
      </c>
    </row>
    <row r="976" spans="1:10" x14ac:dyDescent="0.3">
      <c r="A976" s="2"/>
      <c r="C976" s="1"/>
      <c r="D976" s="1"/>
      <c r="E976" t="e">
        <f>+VLOOKUP(tbl_registro[[#This Row],[Patente]],Pivot_Equipos!$A$1:$E$39,3,FALSE)</f>
        <v>#N/A</v>
      </c>
      <c r="F976" s="2" t="e">
        <f>+VLOOKUP(tbl_registro[[#This Row],[Tipo Equipo]],Pivot_Equipos!$C$1:$E$39,2,FALSE)</f>
        <v>#N/A</v>
      </c>
      <c r="J976" s="2">
        <f t="shared" si="16"/>
        <v>0</v>
      </c>
    </row>
    <row r="977" spans="1:10" x14ac:dyDescent="0.3">
      <c r="A977" s="2"/>
      <c r="C977" s="1"/>
      <c r="D977" s="1"/>
      <c r="E977" t="e">
        <f>+VLOOKUP(tbl_registro[[#This Row],[Patente]],Pivot_Equipos!$A$1:$E$39,3,FALSE)</f>
        <v>#N/A</v>
      </c>
      <c r="F977" s="2" t="e">
        <f>+VLOOKUP(tbl_registro[[#This Row],[Tipo Equipo]],Pivot_Equipos!$C$1:$E$39,2,FALSE)</f>
        <v>#N/A</v>
      </c>
      <c r="J977" s="2">
        <f t="shared" si="16"/>
        <v>0</v>
      </c>
    </row>
    <row r="978" spans="1:10" x14ac:dyDescent="0.3">
      <c r="A978" s="2"/>
      <c r="C978" s="1"/>
      <c r="D978" s="1"/>
      <c r="E978" t="e">
        <f>+VLOOKUP(tbl_registro[[#This Row],[Patente]],Pivot_Equipos!$A$1:$E$39,3,FALSE)</f>
        <v>#N/A</v>
      </c>
      <c r="F978" s="2" t="e">
        <f>+VLOOKUP(tbl_registro[[#This Row],[Tipo Equipo]],Pivot_Equipos!$C$1:$E$39,2,FALSE)</f>
        <v>#N/A</v>
      </c>
      <c r="J978" s="2">
        <f t="shared" si="16"/>
        <v>0</v>
      </c>
    </row>
    <row r="979" spans="1:10" x14ac:dyDescent="0.3">
      <c r="A979" s="2"/>
      <c r="C979" s="1"/>
      <c r="D979" s="1"/>
      <c r="E979" t="e">
        <f>+VLOOKUP(tbl_registro[[#This Row],[Patente]],Pivot_Equipos!$A$1:$E$39,3,FALSE)</f>
        <v>#N/A</v>
      </c>
      <c r="F979" s="2" t="e">
        <f>+VLOOKUP(tbl_registro[[#This Row],[Tipo Equipo]],Pivot_Equipos!$C$1:$E$39,2,FALSE)</f>
        <v>#N/A</v>
      </c>
      <c r="J979" s="2">
        <f t="shared" si="16"/>
        <v>0</v>
      </c>
    </row>
    <row r="980" spans="1:10" x14ac:dyDescent="0.3">
      <c r="A980" s="2"/>
      <c r="C980" s="1"/>
      <c r="D980" s="1"/>
      <c r="E980" t="e">
        <f>+VLOOKUP(tbl_registro[[#This Row],[Patente]],Pivot_Equipos!$A$1:$E$39,3,FALSE)</f>
        <v>#N/A</v>
      </c>
      <c r="F980" s="2" t="e">
        <f>+VLOOKUP(tbl_registro[[#This Row],[Tipo Equipo]],Pivot_Equipos!$C$1:$E$39,2,FALSE)</f>
        <v>#N/A</v>
      </c>
      <c r="J980" s="2">
        <f t="shared" si="16"/>
        <v>0</v>
      </c>
    </row>
    <row r="981" spans="1:10" x14ac:dyDescent="0.3">
      <c r="A981" s="2"/>
      <c r="C981" s="1"/>
      <c r="D981" s="1"/>
      <c r="E981" t="e">
        <f>+VLOOKUP(tbl_registro[[#This Row],[Patente]],Pivot_Equipos!$A$1:$E$39,3,FALSE)</f>
        <v>#N/A</v>
      </c>
      <c r="F981" s="2" t="e">
        <f>+VLOOKUP(tbl_registro[[#This Row],[Tipo Equipo]],Pivot_Equipos!$C$1:$E$39,2,FALSE)</f>
        <v>#N/A</v>
      </c>
      <c r="J981" s="2">
        <f t="shared" si="16"/>
        <v>0</v>
      </c>
    </row>
    <row r="982" spans="1:10" x14ac:dyDescent="0.3">
      <c r="A982" s="2"/>
      <c r="C982" s="1"/>
      <c r="D982" s="1"/>
      <c r="E982" t="e">
        <f>+VLOOKUP(tbl_registro[[#This Row],[Patente]],Pivot_Equipos!$A$1:$E$39,3,FALSE)</f>
        <v>#N/A</v>
      </c>
      <c r="F982" s="2" t="e">
        <f>+VLOOKUP(tbl_registro[[#This Row],[Tipo Equipo]],Pivot_Equipos!$C$1:$E$39,2,FALSE)</f>
        <v>#N/A</v>
      </c>
      <c r="J982" s="2">
        <f t="shared" si="16"/>
        <v>0</v>
      </c>
    </row>
    <row r="983" spans="1:10" x14ac:dyDescent="0.3">
      <c r="A983" s="2"/>
      <c r="C983" s="1"/>
      <c r="D983" s="1"/>
      <c r="E983" t="e">
        <f>+VLOOKUP(tbl_registro[[#This Row],[Patente]],Pivot_Equipos!$A$1:$E$39,3,FALSE)</f>
        <v>#N/A</v>
      </c>
      <c r="F983" s="2" t="e">
        <f>+VLOOKUP(tbl_registro[[#This Row],[Tipo Equipo]],Pivot_Equipos!$C$1:$E$39,2,FALSE)</f>
        <v>#N/A</v>
      </c>
      <c r="J983" s="2">
        <f t="shared" si="16"/>
        <v>0</v>
      </c>
    </row>
    <row r="984" spans="1:10" x14ac:dyDescent="0.3">
      <c r="A984" s="2"/>
      <c r="C984" s="1"/>
      <c r="D984" s="1"/>
      <c r="E984" t="e">
        <f>+VLOOKUP(tbl_registro[[#This Row],[Patente]],Pivot_Equipos!$A$1:$E$39,3,FALSE)</f>
        <v>#N/A</v>
      </c>
      <c r="F984" s="2" t="e">
        <f>+VLOOKUP(tbl_registro[[#This Row],[Tipo Equipo]],Pivot_Equipos!$C$1:$E$39,2,FALSE)</f>
        <v>#N/A</v>
      </c>
      <c r="J984" s="2">
        <f t="shared" si="16"/>
        <v>0</v>
      </c>
    </row>
    <row r="985" spans="1:10" x14ac:dyDescent="0.3">
      <c r="A985" s="2"/>
      <c r="C985" s="1"/>
      <c r="D985" s="1"/>
      <c r="E985" t="e">
        <f>+VLOOKUP(tbl_registro[[#This Row],[Patente]],Pivot_Equipos!$A$1:$E$39,3,FALSE)</f>
        <v>#N/A</v>
      </c>
      <c r="F985" s="2" t="e">
        <f>+VLOOKUP(tbl_registro[[#This Row],[Tipo Equipo]],Pivot_Equipos!$C$1:$E$39,2,FALSE)</f>
        <v>#N/A</v>
      </c>
      <c r="J985" s="2">
        <f t="shared" si="16"/>
        <v>0</v>
      </c>
    </row>
    <row r="986" spans="1:10" x14ac:dyDescent="0.3">
      <c r="A986" s="2"/>
      <c r="C986" s="1"/>
      <c r="D986" s="1"/>
      <c r="E986" t="e">
        <f>+VLOOKUP(tbl_registro[[#This Row],[Patente]],Pivot_Equipos!$A$1:$E$39,3,FALSE)</f>
        <v>#N/A</v>
      </c>
      <c r="F986" s="2" t="e">
        <f>+VLOOKUP(tbl_registro[[#This Row],[Tipo Equipo]],Pivot_Equipos!$C$1:$E$39,2,FALSE)</f>
        <v>#N/A</v>
      </c>
      <c r="J986" s="2">
        <f t="shared" si="16"/>
        <v>0</v>
      </c>
    </row>
    <row r="987" spans="1:10" x14ac:dyDescent="0.3">
      <c r="A987" s="2"/>
      <c r="C987" s="1"/>
      <c r="D987" s="1"/>
      <c r="E987" t="e">
        <f>+VLOOKUP(tbl_registro[[#This Row],[Patente]],Pivot_Equipos!$A$1:$E$39,3,FALSE)</f>
        <v>#N/A</v>
      </c>
      <c r="F987" s="2" t="e">
        <f>+VLOOKUP(tbl_registro[[#This Row],[Tipo Equipo]],Pivot_Equipos!$C$1:$E$39,2,FALSE)</f>
        <v>#N/A</v>
      </c>
      <c r="J987" s="2">
        <f t="shared" si="16"/>
        <v>0</v>
      </c>
    </row>
    <row r="988" spans="1:10" x14ac:dyDescent="0.3">
      <c r="A988" s="2"/>
      <c r="C988" s="1"/>
      <c r="D988" s="1"/>
      <c r="E988" t="e">
        <f>+VLOOKUP(tbl_registro[[#This Row],[Patente]],Pivot_Equipos!$A$1:$E$39,3,FALSE)</f>
        <v>#N/A</v>
      </c>
      <c r="F988" s="2" t="e">
        <f>+VLOOKUP(tbl_registro[[#This Row],[Tipo Equipo]],Pivot_Equipos!$C$1:$E$39,2,FALSE)</f>
        <v>#N/A</v>
      </c>
      <c r="J988" s="2">
        <f t="shared" si="16"/>
        <v>0</v>
      </c>
    </row>
    <row r="989" spans="1:10" x14ac:dyDescent="0.3">
      <c r="A989" s="2"/>
      <c r="C989" s="1"/>
      <c r="D989" s="1"/>
      <c r="E989" t="e">
        <f>+VLOOKUP(tbl_registro[[#This Row],[Patente]],Pivot_Equipos!$A$1:$E$39,3,FALSE)</f>
        <v>#N/A</v>
      </c>
      <c r="F989" s="2" t="e">
        <f>+VLOOKUP(tbl_registro[[#This Row],[Tipo Equipo]],Pivot_Equipos!$C$1:$E$39,2,FALSE)</f>
        <v>#N/A</v>
      </c>
      <c r="J989" s="2">
        <f t="shared" si="16"/>
        <v>0</v>
      </c>
    </row>
    <row r="990" spans="1:10" x14ac:dyDescent="0.3">
      <c r="A990" s="2"/>
      <c r="C990" s="1"/>
      <c r="D990" s="1"/>
      <c r="E990" t="e">
        <f>+VLOOKUP(tbl_registro[[#This Row],[Patente]],Pivot_Equipos!$A$1:$E$39,3,FALSE)</f>
        <v>#N/A</v>
      </c>
      <c r="F990" s="2" t="e">
        <f>+VLOOKUP(tbl_registro[[#This Row],[Tipo Equipo]],Pivot_Equipos!$C$1:$E$39,2,FALSE)</f>
        <v>#N/A</v>
      </c>
      <c r="J990" s="2">
        <f t="shared" si="16"/>
        <v>0</v>
      </c>
    </row>
    <row r="991" spans="1:10" x14ac:dyDescent="0.3">
      <c r="A991" s="2"/>
      <c r="C991" s="1"/>
      <c r="D991" s="1"/>
      <c r="E991" t="e">
        <f>+VLOOKUP(tbl_registro[[#This Row],[Patente]],Pivot_Equipos!$A$1:$E$39,3,FALSE)</f>
        <v>#N/A</v>
      </c>
      <c r="F991" s="2" t="e">
        <f>+VLOOKUP(tbl_registro[[#This Row],[Tipo Equipo]],Pivot_Equipos!$C$1:$E$39,2,FALSE)</f>
        <v>#N/A</v>
      </c>
      <c r="J991" s="2">
        <f t="shared" si="16"/>
        <v>0</v>
      </c>
    </row>
    <row r="992" spans="1:10" x14ac:dyDescent="0.3">
      <c r="A992" s="2"/>
      <c r="C992" s="1"/>
      <c r="D992" s="1"/>
      <c r="E992" t="e">
        <f>+VLOOKUP(tbl_registro[[#This Row],[Patente]],Pivot_Equipos!$A$1:$E$39,3,FALSE)</f>
        <v>#N/A</v>
      </c>
      <c r="F992" s="2" t="e">
        <f>+VLOOKUP(tbl_registro[[#This Row],[Tipo Equipo]],Pivot_Equipos!$C$1:$E$39,2,FALSE)</f>
        <v>#N/A</v>
      </c>
      <c r="J992" s="2">
        <f t="shared" si="16"/>
        <v>0</v>
      </c>
    </row>
    <row r="993" spans="1:10" x14ac:dyDescent="0.3">
      <c r="A993" s="2"/>
      <c r="C993" s="1"/>
      <c r="D993" s="1"/>
      <c r="E993" t="e">
        <f>+VLOOKUP(tbl_registro[[#This Row],[Patente]],Pivot_Equipos!$A$1:$E$39,3,FALSE)</f>
        <v>#N/A</v>
      </c>
      <c r="F993" s="2" t="e">
        <f>+VLOOKUP(tbl_registro[[#This Row],[Tipo Equipo]],Pivot_Equipos!$C$1:$E$39,2,FALSE)</f>
        <v>#N/A</v>
      </c>
      <c r="J993" s="2">
        <f t="shared" si="16"/>
        <v>0</v>
      </c>
    </row>
    <row r="994" spans="1:10" x14ac:dyDescent="0.3">
      <c r="A994" s="2"/>
      <c r="C994" s="1"/>
      <c r="D994" s="1"/>
      <c r="E994" t="e">
        <f>+VLOOKUP(tbl_registro[[#This Row],[Patente]],Pivot_Equipos!$A$1:$E$39,3,FALSE)</f>
        <v>#N/A</v>
      </c>
      <c r="F994" s="2" t="e">
        <f>+VLOOKUP(tbl_registro[[#This Row],[Tipo Equipo]],Pivot_Equipos!$C$1:$E$39,2,FALSE)</f>
        <v>#N/A</v>
      </c>
      <c r="J994" s="2">
        <f t="shared" si="16"/>
        <v>0</v>
      </c>
    </row>
    <row r="995" spans="1:10" x14ac:dyDescent="0.3">
      <c r="A995" s="2"/>
      <c r="C995" s="1"/>
      <c r="D995" s="1"/>
      <c r="E995" t="e">
        <f>+VLOOKUP(tbl_registro[[#This Row],[Patente]],Pivot_Equipos!$A$1:$E$39,3,FALSE)</f>
        <v>#N/A</v>
      </c>
      <c r="F995" s="2" t="e">
        <f>+VLOOKUP(tbl_registro[[#This Row],[Tipo Equipo]],Pivot_Equipos!$C$1:$E$39,2,FALSE)</f>
        <v>#N/A</v>
      </c>
      <c r="J995" s="2">
        <f t="shared" si="16"/>
        <v>0</v>
      </c>
    </row>
    <row r="996" spans="1:10" x14ac:dyDescent="0.3">
      <c r="A996" s="2"/>
      <c r="C996" s="1"/>
      <c r="D996" s="1"/>
      <c r="E996" t="e">
        <f>+VLOOKUP(tbl_registro[[#This Row],[Patente]],Pivot_Equipos!$A$1:$E$39,3,FALSE)</f>
        <v>#N/A</v>
      </c>
      <c r="F996" s="2" t="e">
        <f>+VLOOKUP(tbl_registro[[#This Row],[Tipo Equipo]],Pivot_Equipos!$C$1:$E$39,2,FALSE)</f>
        <v>#N/A</v>
      </c>
      <c r="J996" s="2">
        <f t="shared" si="16"/>
        <v>0</v>
      </c>
    </row>
    <row r="997" spans="1:10" x14ac:dyDescent="0.3">
      <c r="A997" s="2"/>
      <c r="C997" s="1"/>
      <c r="D997" s="1"/>
      <c r="E997" t="e">
        <f>+VLOOKUP(tbl_registro[[#This Row],[Patente]],Pivot_Equipos!$A$1:$E$39,3,FALSE)</f>
        <v>#N/A</v>
      </c>
      <c r="F997" s="2" t="e">
        <f>+VLOOKUP(tbl_registro[[#This Row],[Tipo Equipo]],Pivot_Equipos!$C$1:$E$39,2,FALSE)</f>
        <v>#N/A</v>
      </c>
      <c r="J997" s="2">
        <f t="shared" si="16"/>
        <v>0</v>
      </c>
    </row>
    <row r="998" spans="1:10" x14ac:dyDescent="0.3">
      <c r="A998" s="2"/>
      <c r="C998" s="1"/>
      <c r="D998" s="1"/>
      <c r="E998" t="e">
        <f>+VLOOKUP(tbl_registro[[#This Row],[Patente]],Pivot_Equipos!$A$1:$E$39,3,FALSE)</f>
        <v>#N/A</v>
      </c>
      <c r="F998" s="2" t="e">
        <f>+VLOOKUP(tbl_registro[[#This Row],[Tipo Equipo]],Pivot_Equipos!$C$1:$E$39,2,FALSE)</f>
        <v>#N/A</v>
      </c>
      <c r="J998" s="2">
        <f t="shared" si="16"/>
        <v>0</v>
      </c>
    </row>
    <row r="999" spans="1:10" x14ac:dyDescent="0.3">
      <c r="A999" s="2"/>
      <c r="C999" s="1"/>
      <c r="D999" s="1"/>
      <c r="E999" t="e">
        <f>+VLOOKUP(tbl_registro[[#This Row],[Patente]],Pivot_Equipos!$A$1:$E$39,3,FALSE)</f>
        <v>#N/A</v>
      </c>
      <c r="F999" s="2" t="e">
        <f>+VLOOKUP(tbl_registro[[#This Row],[Tipo Equipo]],Pivot_Equipos!$C$1:$E$39,2,FALSE)</f>
        <v>#N/A</v>
      </c>
      <c r="J999" s="2">
        <f t="shared" si="16"/>
        <v>0</v>
      </c>
    </row>
    <row r="1000" spans="1:10" x14ac:dyDescent="0.3">
      <c r="A1000" s="2"/>
      <c r="C1000" s="1"/>
      <c r="D1000" s="1"/>
      <c r="E1000" t="e">
        <f>+VLOOKUP(tbl_registro[[#This Row],[Patente]],Pivot_Equipos!$A$1:$E$39,3,FALSE)</f>
        <v>#N/A</v>
      </c>
      <c r="F1000" s="2" t="e">
        <f>+VLOOKUP(tbl_registro[[#This Row],[Tipo Equipo]],Pivot_Equipos!$C$1:$E$39,2,FALSE)</f>
        <v>#N/A</v>
      </c>
      <c r="J1000" s="2">
        <f t="shared" si="16"/>
        <v>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A7CE-5E5D-43DD-B340-D9217B19D43E}">
  <dimension ref="A1:X33"/>
  <sheetViews>
    <sheetView workbookViewId="0">
      <selection activeCell="N34" sqref="N34"/>
    </sheetView>
  </sheetViews>
  <sheetFormatPr baseColWidth="10" defaultRowHeight="14.4" x14ac:dyDescent="0.3"/>
  <cols>
    <col min="1" max="1" width="15" bestFit="1" customWidth="1"/>
    <col min="2" max="2" width="21.44140625" bestFit="1" customWidth="1"/>
    <col min="3" max="3" width="11.88671875" bestFit="1" customWidth="1"/>
    <col min="4" max="10" width="4" bestFit="1" customWidth="1"/>
    <col min="11" max="11" width="11.88671875" bestFit="1" customWidth="1"/>
    <col min="12" max="12" width="8" bestFit="1" customWidth="1"/>
    <col min="13" max="15" width="7.33203125" bestFit="1" customWidth="1"/>
    <col min="16" max="16" width="15" bestFit="1" customWidth="1"/>
    <col min="17" max="17" width="21.44140625" bestFit="1" customWidth="1"/>
    <col min="18" max="23" width="10.33203125" bestFit="1" customWidth="1"/>
    <col min="24" max="24" width="11.88671875" bestFit="1" customWidth="1"/>
    <col min="25" max="25" width="8.109375" bestFit="1" customWidth="1"/>
    <col min="26" max="26" width="7.77734375" bestFit="1" customWidth="1"/>
    <col min="27" max="27" width="11.88671875" bestFit="1" customWidth="1"/>
  </cols>
  <sheetData>
    <row r="1" spans="1:24" x14ac:dyDescent="0.3">
      <c r="A1" s="4" t="s">
        <v>0</v>
      </c>
      <c r="B1" t="s">
        <v>34</v>
      </c>
      <c r="D1" s="116" t="s">
        <v>38</v>
      </c>
      <c r="E1" s="116"/>
      <c r="F1" s="116"/>
      <c r="G1" s="116"/>
      <c r="H1" s="116"/>
      <c r="P1" s="4" t="s">
        <v>7</v>
      </c>
      <c r="Q1" t="s">
        <v>34</v>
      </c>
    </row>
    <row r="2" spans="1:24" x14ac:dyDescent="0.3">
      <c r="A2" s="4" t="s">
        <v>36</v>
      </c>
      <c r="B2" t="s">
        <v>37</v>
      </c>
      <c r="P2" s="4" t="s">
        <v>36</v>
      </c>
      <c r="Q2" t="s">
        <v>34</v>
      </c>
    </row>
    <row r="3" spans="1:24" x14ac:dyDescent="0.3">
      <c r="A3" s="4" t="s">
        <v>7</v>
      </c>
      <c r="B3" t="s">
        <v>34</v>
      </c>
    </row>
    <row r="4" spans="1:24" x14ac:dyDescent="0.3">
      <c r="A4" s="4" t="s">
        <v>40</v>
      </c>
      <c r="B4" t="s">
        <v>74</v>
      </c>
      <c r="P4" s="4" t="s">
        <v>132</v>
      </c>
      <c r="Q4" s="4" t="s">
        <v>35</v>
      </c>
    </row>
    <row r="5" spans="1:24" x14ac:dyDescent="0.3">
      <c r="P5" s="4" t="s">
        <v>2</v>
      </c>
      <c r="Q5" s="3">
        <v>45957</v>
      </c>
      <c r="R5" s="3">
        <v>45958</v>
      </c>
      <c r="S5" s="3">
        <v>45959</v>
      </c>
      <c r="T5" s="3">
        <v>45960</v>
      </c>
      <c r="U5" s="3">
        <v>45961</v>
      </c>
      <c r="V5" s="3">
        <v>45962</v>
      </c>
      <c r="W5" s="3">
        <v>45963</v>
      </c>
      <c r="X5" t="s">
        <v>33</v>
      </c>
    </row>
    <row r="6" spans="1:24" x14ac:dyDescent="0.3">
      <c r="A6" s="4" t="s">
        <v>2</v>
      </c>
      <c r="B6" t="s">
        <v>132</v>
      </c>
      <c r="P6" s="6">
        <v>465</v>
      </c>
      <c r="Q6">
        <v>1.3000000000000114</v>
      </c>
      <c r="R6">
        <v>0.69999999999998863</v>
      </c>
      <c r="S6">
        <v>1.1000000000000227</v>
      </c>
      <c r="T6">
        <v>6</v>
      </c>
      <c r="U6">
        <v>0</v>
      </c>
      <c r="V6">
        <v>0</v>
      </c>
      <c r="W6">
        <v>0</v>
      </c>
      <c r="X6">
        <v>9.1000000000000227</v>
      </c>
    </row>
    <row r="7" spans="1:24" x14ac:dyDescent="0.3">
      <c r="A7" s="6">
        <v>459</v>
      </c>
      <c r="B7">
        <v>7.5999999999999943</v>
      </c>
      <c r="P7" s="6" t="s">
        <v>33</v>
      </c>
      <c r="Q7">
        <v>1.3000000000000114</v>
      </c>
      <c r="R7">
        <v>0.69999999999998863</v>
      </c>
      <c r="S7">
        <v>1.1000000000000227</v>
      </c>
      <c r="T7">
        <v>6</v>
      </c>
      <c r="U7">
        <v>0</v>
      </c>
      <c r="V7">
        <v>0</v>
      </c>
      <c r="W7">
        <v>0</v>
      </c>
      <c r="X7">
        <v>9.1000000000000227</v>
      </c>
    </row>
    <row r="8" spans="1:24" x14ac:dyDescent="0.3">
      <c r="A8" s="6">
        <v>460</v>
      </c>
      <c r="B8">
        <v>4.9000000000000057</v>
      </c>
    </row>
    <row r="9" spans="1:24" x14ac:dyDescent="0.3">
      <c r="A9" s="6">
        <v>461</v>
      </c>
      <c r="B9">
        <v>2.9000000000000057</v>
      </c>
    </row>
    <row r="10" spans="1:24" x14ac:dyDescent="0.3">
      <c r="A10" s="6">
        <v>462</v>
      </c>
      <c r="B10">
        <v>4.0999999999999943</v>
      </c>
    </row>
    <row r="11" spans="1:24" x14ac:dyDescent="0.3">
      <c r="A11" s="6">
        <v>463</v>
      </c>
      <c r="B11">
        <v>13</v>
      </c>
    </row>
    <row r="12" spans="1:24" x14ac:dyDescent="0.3">
      <c r="A12" s="6">
        <v>464</v>
      </c>
      <c r="B12">
        <v>8.0999999999999943</v>
      </c>
    </row>
    <row r="13" spans="1:24" x14ac:dyDescent="0.3">
      <c r="A13" s="6">
        <v>465</v>
      </c>
      <c r="B13">
        <v>9.1000000000000227</v>
      </c>
    </row>
    <row r="14" spans="1:24" x14ac:dyDescent="0.3">
      <c r="A14" s="6">
        <v>466</v>
      </c>
      <c r="B14">
        <v>8.8000000000000114</v>
      </c>
    </row>
    <row r="15" spans="1:24" x14ac:dyDescent="0.3">
      <c r="A15" s="6">
        <v>467</v>
      </c>
      <c r="B15">
        <v>5</v>
      </c>
    </row>
    <row r="16" spans="1:24" x14ac:dyDescent="0.3">
      <c r="A16" s="6">
        <v>475</v>
      </c>
      <c r="B16">
        <v>4</v>
      </c>
    </row>
    <row r="17" spans="1:3" x14ac:dyDescent="0.3">
      <c r="A17" s="6" t="s">
        <v>33</v>
      </c>
      <c r="B17">
        <v>67.500000000000028</v>
      </c>
    </row>
    <row r="23" spans="1:3" x14ac:dyDescent="0.3">
      <c r="A23" s="4" t="s">
        <v>7</v>
      </c>
      <c r="B23" t="s">
        <v>34</v>
      </c>
    </row>
    <row r="24" spans="1:3" x14ac:dyDescent="0.3">
      <c r="A24" s="4" t="s">
        <v>36</v>
      </c>
      <c r="B24" t="s">
        <v>37</v>
      </c>
    </row>
    <row r="26" spans="1:3" x14ac:dyDescent="0.3">
      <c r="A26" s="4" t="s">
        <v>132</v>
      </c>
      <c r="B26" s="4" t="s">
        <v>35</v>
      </c>
    </row>
    <row r="27" spans="1:3" x14ac:dyDescent="0.3">
      <c r="A27" s="4" t="s">
        <v>2</v>
      </c>
      <c r="B27">
        <v>461</v>
      </c>
      <c r="C27" t="s">
        <v>33</v>
      </c>
    </row>
    <row r="28" spans="1:3" x14ac:dyDescent="0.3">
      <c r="A28" s="5">
        <v>45957</v>
      </c>
      <c r="B28">
        <v>2</v>
      </c>
      <c r="C28">
        <v>2</v>
      </c>
    </row>
    <row r="29" spans="1:3" x14ac:dyDescent="0.3">
      <c r="A29" s="5">
        <v>45958</v>
      </c>
      <c r="B29">
        <v>0.20000000000000284</v>
      </c>
      <c r="C29">
        <v>0.20000000000000284</v>
      </c>
    </row>
    <row r="30" spans="1:3" x14ac:dyDescent="0.3">
      <c r="A30" s="5">
        <v>45959</v>
      </c>
      <c r="B30">
        <v>0</v>
      </c>
      <c r="C30">
        <v>0</v>
      </c>
    </row>
    <row r="31" spans="1:3" x14ac:dyDescent="0.3">
      <c r="A31" s="5">
        <v>45960</v>
      </c>
      <c r="B31">
        <v>0.70000000000000284</v>
      </c>
      <c r="C31">
        <v>0.70000000000000284</v>
      </c>
    </row>
    <row r="32" spans="1:3" x14ac:dyDescent="0.3">
      <c r="A32" s="5">
        <v>45961</v>
      </c>
      <c r="B32">
        <v>0</v>
      </c>
      <c r="C32">
        <v>0</v>
      </c>
    </row>
    <row r="33" spans="1:3" x14ac:dyDescent="0.3">
      <c r="A33" s="6" t="s">
        <v>33</v>
      </c>
      <c r="B33">
        <v>2.9000000000000057</v>
      </c>
      <c r="C33">
        <v>2.9000000000000057</v>
      </c>
    </row>
  </sheetData>
  <mergeCells count="1">
    <mergeCell ref="D1:H1"/>
  </mergeCells>
  <pageMargins left="0.7" right="0.7" top="0.75" bottom="0.75" header="0.3" footer="0.3"/>
  <pageSetup paperSize="9" orientation="portrait" horizontalDpi="0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1721-58F4-4625-8883-CBCECC1CCE2A}">
  <sheetPr>
    <tabColor rgb="FF92D050"/>
  </sheetPr>
  <dimension ref="B4:Q104"/>
  <sheetViews>
    <sheetView showGridLines="0" tabSelected="1" workbookViewId="0">
      <selection activeCell="J9" sqref="J9"/>
    </sheetView>
  </sheetViews>
  <sheetFormatPr baseColWidth="10" defaultRowHeight="14.4" x14ac:dyDescent="0.3"/>
  <cols>
    <col min="1" max="1" width="3.21875" customWidth="1"/>
    <col min="2" max="2" width="38.109375" bestFit="1" customWidth="1"/>
    <col min="3" max="3" width="22.5546875" bestFit="1" customWidth="1"/>
    <col min="4" max="4" width="5" bestFit="1" customWidth="1"/>
    <col min="5" max="5" width="10.33203125" bestFit="1" customWidth="1"/>
    <col min="6" max="6" width="10.33203125" style="1" bestFit="1" customWidth="1"/>
    <col min="7" max="7" width="10.33203125" bestFit="1" customWidth="1"/>
    <col min="8" max="9" width="11.88671875" bestFit="1" customWidth="1"/>
  </cols>
  <sheetData>
    <row r="4" spans="2:17" ht="15" thickBot="1" x14ac:dyDescent="0.35">
      <c r="H4" s="8" t="s">
        <v>36</v>
      </c>
      <c r="I4" s="1" t="str">
        <f>+Hoja2!$B$2</f>
        <v>Octubre</v>
      </c>
      <c r="P4" s="8" t="s">
        <v>36</v>
      </c>
      <c r="Q4" s="1" t="str">
        <f>+Hoja2!B24</f>
        <v>Octubre</v>
      </c>
    </row>
    <row r="5" spans="2:17" ht="14.4" customHeight="1" x14ac:dyDescent="0.3">
      <c r="B5" s="117">
        <f>+Hoja2!$B$15</f>
        <v>5</v>
      </c>
      <c r="C5" s="118"/>
      <c r="D5" s="119"/>
      <c r="H5" s="8" t="s">
        <v>0</v>
      </c>
      <c r="I5" s="7" t="str">
        <f>+Hoja2!$B$1</f>
        <v>(Todas)</v>
      </c>
      <c r="L5" s="126">
        <f>+GETPIVOTDATA("HD/KM",Hoja2!$A$26)</f>
        <v>2.9000000000000057</v>
      </c>
      <c r="M5" s="127"/>
      <c r="N5" s="128"/>
      <c r="P5" s="8" t="s">
        <v>78</v>
      </c>
      <c r="Q5" s="7"/>
    </row>
    <row r="6" spans="2:17" ht="14.4" customHeight="1" x14ac:dyDescent="0.3">
      <c r="B6" s="120"/>
      <c r="C6" s="121"/>
      <c r="D6" s="122"/>
      <c r="H6" s="8" t="s">
        <v>39</v>
      </c>
      <c r="I6" s="1" t="str">
        <f>+Hoja2!$B$3</f>
        <v>(Todas)</v>
      </c>
      <c r="L6" s="129"/>
      <c r="M6" s="130"/>
      <c r="N6" s="131"/>
      <c r="P6" s="8" t="s">
        <v>39</v>
      </c>
      <c r="Q6" s="1" t="str">
        <f>+Hoja2!B23</f>
        <v>(Todas)</v>
      </c>
    </row>
    <row r="7" spans="2:17" ht="15" customHeight="1" thickBot="1" x14ac:dyDescent="0.35">
      <c r="B7" s="123"/>
      <c r="C7" s="124"/>
      <c r="D7" s="125"/>
      <c r="H7" s="8" t="s">
        <v>78</v>
      </c>
      <c r="I7" s="1" t="str">
        <f>+Hoja2!$B$4</f>
        <v>Grua</v>
      </c>
      <c r="L7" s="132"/>
      <c r="M7" s="133"/>
      <c r="N7" s="134"/>
      <c r="P7" s="8" t="s">
        <v>40</v>
      </c>
      <c r="Q7" s="1">
        <f>+Hoja2!B27</f>
        <v>461</v>
      </c>
    </row>
    <row r="28" spans="2:4" x14ac:dyDescent="0.3">
      <c r="B28" s="135" t="s">
        <v>80</v>
      </c>
      <c r="C28" s="135"/>
      <c r="D28" s="135"/>
    </row>
    <row r="29" spans="2:4" x14ac:dyDescent="0.3">
      <c r="B29" s="26"/>
      <c r="C29" s="26"/>
      <c r="D29" s="26"/>
    </row>
    <row r="30" spans="2:4" x14ac:dyDescent="0.3">
      <c r="B30" s="4" t="s">
        <v>7</v>
      </c>
      <c r="C30" t="s">
        <v>34</v>
      </c>
      <c r="D30" s="26"/>
    </row>
    <row r="31" spans="2:4" x14ac:dyDescent="0.3">
      <c r="B31" s="4" t="s">
        <v>36</v>
      </c>
      <c r="C31" t="s">
        <v>37</v>
      </c>
    </row>
    <row r="32" spans="2:4" x14ac:dyDescent="0.3">
      <c r="B32" s="4" t="s">
        <v>40</v>
      </c>
      <c r="C32" t="s">
        <v>34</v>
      </c>
    </row>
    <row r="34" spans="2:9" x14ac:dyDescent="0.3">
      <c r="B34" s="4" t="s">
        <v>132</v>
      </c>
      <c r="C34" s="4" t="s">
        <v>35</v>
      </c>
      <c r="F34"/>
    </row>
    <row r="35" spans="2:9" s="2" customFormat="1" ht="55.8" x14ac:dyDescent="0.3">
      <c r="B35" s="27" t="s">
        <v>2</v>
      </c>
      <c r="C35" s="28">
        <v>45957</v>
      </c>
      <c r="D35" s="28">
        <v>45958</v>
      </c>
      <c r="E35" s="115">
        <v>45959</v>
      </c>
      <c r="F35" s="115">
        <v>45960</v>
      </c>
      <c r="G35" s="115">
        <v>45961</v>
      </c>
      <c r="H35" s="2" t="s">
        <v>33</v>
      </c>
      <c r="I35"/>
    </row>
    <row r="36" spans="2:9" x14ac:dyDescent="0.3">
      <c r="B36" s="6">
        <v>459</v>
      </c>
      <c r="C36" s="1">
        <v>2</v>
      </c>
      <c r="D36" s="1">
        <v>0.59999999999999432</v>
      </c>
      <c r="E36" s="1">
        <v>0.40000000000000568</v>
      </c>
      <c r="F36" s="1">
        <v>1</v>
      </c>
      <c r="G36" s="1">
        <v>3.5999999999999943</v>
      </c>
      <c r="H36" s="1">
        <v>7.5999999999999943</v>
      </c>
    </row>
    <row r="37" spans="2:9" x14ac:dyDescent="0.3">
      <c r="B37" s="6">
        <v>460</v>
      </c>
      <c r="C37" s="1">
        <v>2.0999999999999943</v>
      </c>
      <c r="D37" s="1">
        <v>0.40000000000000568</v>
      </c>
      <c r="E37" s="1">
        <v>0.90000000000000568</v>
      </c>
      <c r="F37" s="1">
        <v>0.79999999999998295</v>
      </c>
      <c r="G37" s="1">
        <v>0.70000000000001705</v>
      </c>
      <c r="H37" s="1">
        <v>4.9000000000000057</v>
      </c>
    </row>
    <row r="38" spans="2:9" x14ac:dyDescent="0.3">
      <c r="B38" s="6">
        <v>461</v>
      </c>
      <c r="C38" s="1">
        <v>2</v>
      </c>
      <c r="D38" s="1">
        <v>0.20000000000000284</v>
      </c>
      <c r="E38" s="1">
        <v>0</v>
      </c>
      <c r="F38" s="1">
        <v>0.70000000000000284</v>
      </c>
      <c r="G38" s="1">
        <v>0</v>
      </c>
      <c r="H38" s="1">
        <v>2.9000000000000057</v>
      </c>
    </row>
    <row r="39" spans="2:9" x14ac:dyDescent="0.3">
      <c r="B39" s="6">
        <v>462</v>
      </c>
      <c r="C39" s="1">
        <v>1</v>
      </c>
      <c r="D39" s="1">
        <v>0.5</v>
      </c>
      <c r="E39" s="1">
        <v>0</v>
      </c>
      <c r="F39" s="1">
        <v>9.9999999999994316E-2</v>
      </c>
      <c r="G39" s="1">
        <v>2.5</v>
      </c>
      <c r="H39" s="1">
        <v>4.0999999999999943</v>
      </c>
    </row>
    <row r="40" spans="2:9" x14ac:dyDescent="0.3">
      <c r="B40" s="6">
        <v>463</v>
      </c>
      <c r="C40" s="1">
        <v>1.5999999999999943</v>
      </c>
      <c r="D40" s="1">
        <v>4.0999999999999943</v>
      </c>
      <c r="E40" s="1">
        <v>0.10000000000002274</v>
      </c>
      <c r="F40" s="1">
        <v>7.1999999999999886</v>
      </c>
      <c r="G40" s="1">
        <v>0</v>
      </c>
      <c r="H40" s="1">
        <v>13</v>
      </c>
    </row>
    <row r="41" spans="2:9" x14ac:dyDescent="0.3">
      <c r="B41" s="6">
        <v>464</v>
      </c>
      <c r="C41" s="1">
        <v>2</v>
      </c>
      <c r="D41" s="1">
        <v>0.5</v>
      </c>
      <c r="E41" s="1">
        <v>2.9000000000000057</v>
      </c>
      <c r="F41" s="1">
        <v>0.19999999999998863</v>
      </c>
      <c r="G41" s="1">
        <v>2.5</v>
      </c>
      <c r="H41" s="1">
        <v>8.0999999999999943</v>
      </c>
    </row>
    <row r="42" spans="2:9" x14ac:dyDescent="0.3">
      <c r="B42" s="6">
        <v>465</v>
      </c>
      <c r="C42" s="1">
        <v>1.3000000000000114</v>
      </c>
      <c r="D42" s="1">
        <v>0.69999999999998863</v>
      </c>
      <c r="E42" s="1">
        <v>1.1000000000000227</v>
      </c>
      <c r="F42" s="1">
        <v>6</v>
      </c>
      <c r="G42" s="1">
        <v>0</v>
      </c>
      <c r="H42" s="1">
        <v>9.1000000000000227</v>
      </c>
    </row>
    <row r="43" spans="2:9" x14ac:dyDescent="0.3">
      <c r="B43" s="6">
        <v>466</v>
      </c>
      <c r="C43" s="1">
        <v>2.8000000000000114</v>
      </c>
      <c r="D43" s="1">
        <v>2.1999999999999886</v>
      </c>
      <c r="E43" s="1">
        <v>0</v>
      </c>
      <c r="F43" s="1">
        <v>3.8000000000000114</v>
      </c>
      <c r="G43" s="1">
        <v>0</v>
      </c>
      <c r="H43" s="1">
        <v>8.8000000000000114</v>
      </c>
    </row>
    <row r="44" spans="2:9" x14ac:dyDescent="0.3">
      <c r="B44" s="6">
        <v>467</v>
      </c>
      <c r="C44" s="1">
        <v>2</v>
      </c>
      <c r="D44" s="1">
        <v>1.6999999999999886</v>
      </c>
      <c r="E44" s="1">
        <v>0.30000000000001137</v>
      </c>
      <c r="F44" s="1">
        <v>1</v>
      </c>
      <c r="G44" s="1">
        <v>0</v>
      </c>
      <c r="H44" s="1">
        <v>5</v>
      </c>
    </row>
    <row r="45" spans="2:9" x14ac:dyDescent="0.3">
      <c r="B45" s="6" t="s">
        <v>33</v>
      </c>
      <c r="C45" s="1">
        <v>16.800000000000011</v>
      </c>
      <c r="D45" s="1">
        <v>10.899999999999963</v>
      </c>
      <c r="E45" s="1">
        <v>5.7000000000000739</v>
      </c>
      <c r="F45" s="1">
        <v>20.799999999999969</v>
      </c>
      <c r="G45" s="1">
        <v>9.3000000000000114</v>
      </c>
      <c r="H45" s="1">
        <v>63.500000000000028</v>
      </c>
    </row>
    <row r="46" spans="2:9" x14ac:dyDescent="0.3">
      <c r="F46"/>
    </row>
    <row r="47" spans="2:9" x14ac:dyDescent="0.3">
      <c r="F47"/>
    </row>
    <row r="49" spans="2:6" x14ac:dyDescent="0.3">
      <c r="B49" s="135" t="s">
        <v>79</v>
      </c>
      <c r="C49" s="135"/>
      <c r="D49" s="135"/>
    </row>
    <row r="50" spans="2:6" x14ac:dyDescent="0.3">
      <c r="B50" s="26"/>
      <c r="C50" s="26"/>
      <c r="D50" s="26"/>
    </row>
    <row r="51" spans="2:6" x14ac:dyDescent="0.3">
      <c r="D51" s="26"/>
    </row>
    <row r="52" spans="2:6" x14ac:dyDescent="0.3">
      <c r="B52" s="4" t="s">
        <v>36</v>
      </c>
      <c r="C52" t="s">
        <v>37</v>
      </c>
    </row>
    <row r="53" spans="2:6" x14ac:dyDescent="0.3">
      <c r="B53" s="4" t="s">
        <v>0</v>
      </c>
      <c r="C53" s="5">
        <v>45961</v>
      </c>
    </row>
    <row r="55" spans="2:6" x14ac:dyDescent="0.3">
      <c r="B55" s="27" t="s">
        <v>2</v>
      </c>
      <c r="C55" s="2" t="s">
        <v>81</v>
      </c>
      <c r="F55"/>
    </row>
    <row r="56" spans="2:6" x14ac:dyDescent="0.3">
      <c r="B56" s="6">
        <v>459</v>
      </c>
      <c r="C56" s="1">
        <v>123.6</v>
      </c>
      <c r="F56"/>
    </row>
    <row r="57" spans="2:6" x14ac:dyDescent="0.3">
      <c r="B57" s="29" t="s">
        <v>12</v>
      </c>
      <c r="C57" s="1">
        <v>123.6</v>
      </c>
      <c r="F57"/>
    </row>
    <row r="58" spans="2:6" x14ac:dyDescent="0.3">
      <c r="B58" s="6">
        <v>460</v>
      </c>
      <c r="C58" s="1">
        <v>153.9</v>
      </c>
      <c r="F58"/>
    </row>
    <row r="59" spans="2:6" x14ac:dyDescent="0.3">
      <c r="B59" s="29" t="s">
        <v>12</v>
      </c>
      <c r="C59" s="1">
        <v>153.9</v>
      </c>
      <c r="F59"/>
    </row>
    <row r="60" spans="2:6" x14ac:dyDescent="0.3">
      <c r="B60" s="6">
        <v>461</v>
      </c>
      <c r="C60" s="1">
        <v>64.900000000000006</v>
      </c>
      <c r="F60"/>
    </row>
    <row r="61" spans="2:6" x14ac:dyDescent="0.3">
      <c r="B61" s="29" t="s">
        <v>11</v>
      </c>
      <c r="C61" s="1">
        <v>64.900000000000006</v>
      </c>
      <c r="F61"/>
    </row>
    <row r="62" spans="2:6" x14ac:dyDescent="0.3">
      <c r="B62" s="6">
        <v>462</v>
      </c>
      <c r="C62" s="1">
        <v>203.1</v>
      </c>
      <c r="F62"/>
    </row>
    <row r="63" spans="2:6" x14ac:dyDescent="0.3">
      <c r="B63" s="29" t="s">
        <v>11</v>
      </c>
      <c r="C63" s="1">
        <v>203.1</v>
      </c>
      <c r="F63"/>
    </row>
    <row r="64" spans="2:6" x14ac:dyDescent="0.3">
      <c r="B64" s="6">
        <v>463</v>
      </c>
      <c r="C64" s="1">
        <v>170</v>
      </c>
      <c r="F64"/>
    </row>
    <row r="65" spans="2:6" x14ac:dyDescent="0.3">
      <c r="B65" s="29" t="s">
        <v>11</v>
      </c>
      <c r="C65" s="1">
        <v>170</v>
      </c>
      <c r="F65"/>
    </row>
    <row r="66" spans="2:6" x14ac:dyDescent="0.3">
      <c r="B66" s="6">
        <v>464</v>
      </c>
      <c r="C66" s="1">
        <v>236.6</v>
      </c>
      <c r="F66"/>
    </row>
    <row r="67" spans="2:6" x14ac:dyDescent="0.3">
      <c r="B67" s="29" t="s">
        <v>11</v>
      </c>
      <c r="C67" s="1">
        <v>236.6</v>
      </c>
      <c r="F67"/>
    </row>
    <row r="68" spans="2:6" x14ac:dyDescent="0.3">
      <c r="B68" s="6">
        <v>465</v>
      </c>
      <c r="C68" s="1">
        <v>299.10000000000002</v>
      </c>
    </row>
    <row r="69" spans="2:6" x14ac:dyDescent="0.3">
      <c r="B69" s="29" t="s">
        <v>10</v>
      </c>
      <c r="C69" s="1">
        <v>299.10000000000002</v>
      </c>
    </row>
    <row r="70" spans="2:6" x14ac:dyDescent="0.3">
      <c r="B70" s="6">
        <v>466</v>
      </c>
      <c r="C70" s="1">
        <v>278.8</v>
      </c>
    </row>
    <row r="71" spans="2:6" x14ac:dyDescent="0.3">
      <c r="B71" s="29" t="s">
        <v>10</v>
      </c>
      <c r="C71" s="1">
        <v>278.8</v>
      </c>
    </row>
    <row r="72" spans="2:6" x14ac:dyDescent="0.3">
      <c r="B72" s="6">
        <v>467</v>
      </c>
      <c r="C72" s="1">
        <v>198</v>
      </c>
    </row>
    <row r="73" spans="2:6" x14ac:dyDescent="0.3">
      <c r="B73" s="29" t="s">
        <v>14</v>
      </c>
      <c r="C73" s="1">
        <v>198</v>
      </c>
    </row>
    <row r="74" spans="2:6" x14ac:dyDescent="0.3">
      <c r="B74" s="6" t="s">
        <v>127</v>
      </c>
      <c r="C74" s="1">
        <v>7250</v>
      </c>
    </row>
    <row r="75" spans="2:6" x14ac:dyDescent="0.3">
      <c r="B75" s="29" t="s">
        <v>45</v>
      </c>
      <c r="C75" s="1">
        <v>7250</v>
      </c>
    </row>
    <row r="76" spans="2:6" x14ac:dyDescent="0.3">
      <c r="B76" s="6" t="s">
        <v>93</v>
      </c>
      <c r="C76" s="1">
        <v>3509.5</v>
      </c>
    </row>
    <row r="77" spans="2:6" x14ac:dyDescent="0.3">
      <c r="B77" s="29" t="s">
        <v>82</v>
      </c>
      <c r="C77" s="1">
        <v>3509.5</v>
      </c>
    </row>
    <row r="78" spans="2:6" x14ac:dyDescent="0.3">
      <c r="B78" s="6" t="s">
        <v>94</v>
      </c>
      <c r="C78" s="1">
        <v>7836</v>
      </c>
    </row>
    <row r="79" spans="2:6" x14ac:dyDescent="0.3">
      <c r="B79" s="29" t="s">
        <v>82</v>
      </c>
      <c r="C79" s="1">
        <v>7836</v>
      </c>
    </row>
    <row r="80" spans="2:6" x14ac:dyDescent="0.3">
      <c r="B80" s="6" t="s">
        <v>95</v>
      </c>
      <c r="C80" s="1">
        <v>3070</v>
      </c>
    </row>
    <row r="81" spans="2:3" x14ac:dyDescent="0.3">
      <c r="B81" s="29" t="s">
        <v>82</v>
      </c>
      <c r="C81" s="1">
        <v>3070</v>
      </c>
    </row>
    <row r="82" spans="2:3" x14ac:dyDescent="0.3">
      <c r="B82" s="6" t="s">
        <v>96</v>
      </c>
      <c r="C82" s="1">
        <v>7550</v>
      </c>
    </row>
    <row r="83" spans="2:3" x14ac:dyDescent="0.3">
      <c r="B83" s="29" t="s">
        <v>82</v>
      </c>
      <c r="C83" s="1">
        <v>7550</v>
      </c>
    </row>
    <row r="84" spans="2:3" x14ac:dyDescent="0.3">
      <c r="B84" s="6" t="s">
        <v>97</v>
      </c>
      <c r="C84" s="1">
        <v>4699</v>
      </c>
    </row>
    <row r="85" spans="2:3" x14ac:dyDescent="0.3">
      <c r="B85" s="29" t="s">
        <v>82</v>
      </c>
      <c r="C85" s="1">
        <v>4699</v>
      </c>
    </row>
    <row r="86" spans="2:3" x14ac:dyDescent="0.3">
      <c r="B86" s="6" t="s">
        <v>98</v>
      </c>
      <c r="C86" s="1">
        <v>3412.5</v>
      </c>
    </row>
    <row r="87" spans="2:3" x14ac:dyDescent="0.3">
      <c r="B87" s="29" t="s">
        <v>82</v>
      </c>
      <c r="C87" s="1">
        <v>3412.5</v>
      </c>
    </row>
    <row r="88" spans="2:3" x14ac:dyDescent="0.3">
      <c r="B88" s="6" t="s">
        <v>99</v>
      </c>
      <c r="C88" s="1">
        <v>4593</v>
      </c>
    </row>
    <row r="89" spans="2:3" x14ac:dyDescent="0.3">
      <c r="B89" s="29" t="s">
        <v>82</v>
      </c>
      <c r="C89" s="1">
        <v>4593</v>
      </c>
    </row>
    <row r="90" spans="2:3" x14ac:dyDescent="0.3">
      <c r="B90" s="6">
        <v>475</v>
      </c>
      <c r="C90" s="1">
        <v>53</v>
      </c>
    </row>
    <row r="91" spans="2:3" x14ac:dyDescent="0.3">
      <c r="B91" s="29" t="s">
        <v>13</v>
      </c>
      <c r="C91" s="1">
        <v>53</v>
      </c>
    </row>
    <row r="92" spans="2:3" x14ac:dyDescent="0.3">
      <c r="B92" s="6" t="s">
        <v>111</v>
      </c>
      <c r="C92" s="1">
        <v>5625</v>
      </c>
    </row>
    <row r="93" spans="2:3" x14ac:dyDescent="0.3">
      <c r="B93" s="29" t="s">
        <v>126</v>
      </c>
      <c r="C93" s="1">
        <v>5625</v>
      </c>
    </row>
    <row r="94" spans="2:3" x14ac:dyDescent="0.3">
      <c r="B94" s="6" t="s">
        <v>113</v>
      </c>
      <c r="C94" s="1">
        <v>6840</v>
      </c>
    </row>
    <row r="95" spans="2:3" x14ac:dyDescent="0.3">
      <c r="B95" s="29" t="s">
        <v>126</v>
      </c>
      <c r="C95" s="1">
        <v>6840</v>
      </c>
    </row>
    <row r="96" spans="2:3" x14ac:dyDescent="0.3">
      <c r="B96" s="6" t="s">
        <v>115</v>
      </c>
      <c r="C96" s="1">
        <v>9456</v>
      </c>
    </row>
    <row r="97" spans="2:3" x14ac:dyDescent="0.3">
      <c r="B97" s="29" t="s">
        <v>123</v>
      </c>
      <c r="C97" s="1">
        <v>9456</v>
      </c>
    </row>
    <row r="98" spans="2:3" x14ac:dyDescent="0.3">
      <c r="B98" s="6" t="s">
        <v>116</v>
      </c>
      <c r="C98" s="1">
        <v>7622</v>
      </c>
    </row>
    <row r="99" spans="2:3" x14ac:dyDescent="0.3">
      <c r="B99" s="29" t="s">
        <v>123</v>
      </c>
      <c r="C99" s="1">
        <v>7622</v>
      </c>
    </row>
    <row r="100" spans="2:3" x14ac:dyDescent="0.3">
      <c r="B100" s="6" t="s">
        <v>118</v>
      </c>
      <c r="C100" s="1">
        <v>227850</v>
      </c>
    </row>
    <row r="101" spans="2:3" x14ac:dyDescent="0.3">
      <c r="B101" s="29" t="s">
        <v>124</v>
      </c>
      <c r="C101" s="1">
        <v>227850</v>
      </c>
    </row>
    <row r="102" spans="2:3" x14ac:dyDescent="0.3">
      <c r="B102" s="6" t="s">
        <v>120</v>
      </c>
      <c r="C102" s="1">
        <v>6445.6</v>
      </c>
    </row>
    <row r="103" spans="2:3" x14ac:dyDescent="0.3">
      <c r="B103" s="29" t="s">
        <v>125</v>
      </c>
      <c r="C103" s="1">
        <v>6445.6</v>
      </c>
    </row>
    <row r="104" spans="2:3" x14ac:dyDescent="0.3">
      <c r="B104" s="6" t="s">
        <v>33</v>
      </c>
      <c r="C104" s="1">
        <v>307539.59999999998</v>
      </c>
    </row>
  </sheetData>
  <mergeCells count="4">
    <mergeCell ref="B5:D7"/>
    <mergeCell ref="L5:N7"/>
    <mergeCell ref="B28:D28"/>
    <mergeCell ref="B49:D49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4A2E-91C0-4B9E-9D07-D721D28339BB}">
  <dimension ref="A1:G40"/>
  <sheetViews>
    <sheetView showGridLines="0" workbookViewId="0">
      <selection activeCell="H12" sqref="H12"/>
    </sheetView>
  </sheetViews>
  <sheetFormatPr baseColWidth="10" defaultRowHeight="14.4" x14ac:dyDescent="0.3"/>
  <cols>
    <col min="3" max="3" width="25.88671875" bestFit="1" customWidth="1"/>
    <col min="7" max="7" width="12.5546875" customWidth="1"/>
  </cols>
  <sheetData>
    <row r="1" spans="1:7" ht="15" thickBot="1" x14ac:dyDescent="0.35">
      <c r="A1" s="136" t="s">
        <v>41</v>
      </c>
      <c r="B1" s="136" t="s">
        <v>44</v>
      </c>
      <c r="C1" s="136" t="s">
        <v>43</v>
      </c>
      <c r="D1" s="136" t="s">
        <v>72</v>
      </c>
      <c r="E1" s="138" t="s">
        <v>133</v>
      </c>
      <c r="F1" s="139"/>
      <c r="G1" s="140"/>
    </row>
    <row r="2" spans="1:7" ht="15" thickBot="1" x14ac:dyDescent="0.35">
      <c r="A2" s="137"/>
      <c r="B2" s="137"/>
      <c r="C2" s="137"/>
      <c r="D2" s="137"/>
      <c r="E2" s="43"/>
      <c r="F2" s="43"/>
      <c r="G2" s="43"/>
    </row>
    <row r="3" spans="1:7" x14ac:dyDescent="0.3">
      <c r="A3" s="9" t="s">
        <v>127</v>
      </c>
      <c r="B3" s="9" t="s">
        <v>46</v>
      </c>
      <c r="C3" s="18" t="s">
        <v>45</v>
      </c>
      <c r="D3" s="21" t="s">
        <v>75</v>
      </c>
      <c r="E3" s="21"/>
      <c r="F3" s="21"/>
      <c r="G3" s="19"/>
    </row>
    <row r="4" spans="1:7" x14ac:dyDescent="0.3">
      <c r="A4" s="10" t="s">
        <v>48</v>
      </c>
      <c r="B4" s="10" t="s">
        <v>17</v>
      </c>
      <c r="C4" s="11" t="s">
        <v>47</v>
      </c>
      <c r="D4" s="22" t="s">
        <v>76</v>
      </c>
      <c r="E4" s="22"/>
      <c r="F4" s="22"/>
      <c r="G4" s="16"/>
    </row>
    <row r="5" spans="1:7" x14ac:dyDescent="0.3">
      <c r="A5" s="10" t="s">
        <v>51</v>
      </c>
      <c r="B5" s="10" t="s">
        <v>52</v>
      </c>
      <c r="C5" s="11" t="s">
        <v>50</v>
      </c>
      <c r="D5" s="22" t="s">
        <v>9</v>
      </c>
      <c r="E5" s="22"/>
      <c r="F5" s="22"/>
      <c r="G5" s="16"/>
    </row>
    <row r="6" spans="1:7" x14ac:dyDescent="0.3">
      <c r="A6" s="44" t="s">
        <v>53</v>
      </c>
      <c r="B6" s="45" t="s">
        <v>54</v>
      </c>
      <c r="C6" s="46" t="s">
        <v>50</v>
      </c>
      <c r="D6" s="47" t="s">
        <v>9</v>
      </c>
      <c r="E6" s="47"/>
      <c r="F6" s="47"/>
      <c r="G6" s="16"/>
    </row>
    <row r="7" spans="1:7" x14ac:dyDescent="0.3">
      <c r="A7" s="44" t="s">
        <v>55</v>
      </c>
      <c r="B7" s="45" t="s">
        <v>56</v>
      </c>
      <c r="C7" s="46" t="s">
        <v>50</v>
      </c>
      <c r="D7" s="47" t="s">
        <v>9</v>
      </c>
      <c r="E7" s="47"/>
      <c r="F7" s="47"/>
      <c r="G7" s="16"/>
    </row>
    <row r="8" spans="1:7" x14ac:dyDescent="0.3">
      <c r="A8" s="45" t="s">
        <v>57</v>
      </c>
      <c r="B8" s="45" t="s">
        <v>58</v>
      </c>
      <c r="C8" s="46" t="s">
        <v>50</v>
      </c>
      <c r="D8" s="47" t="s">
        <v>9</v>
      </c>
      <c r="E8" s="47"/>
      <c r="F8" s="47"/>
      <c r="G8" s="16"/>
    </row>
    <row r="9" spans="1:7" x14ac:dyDescent="0.3">
      <c r="A9" s="45" t="s">
        <v>60</v>
      </c>
      <c r="B9" s="45" t="s">
        <v>61</v>
      </c>
      <c r="C9" s="46" t="s">
        <v>59</v>
      </c>
      <c r="D9" s="47" t="s">
        <v>73</v>
      </c>
      <c r="E9" s="47"/>
      <c r="F9" s="47"/>
      <c r="G9" s="16"/>
    </row>
    <row r="10" spans="1:7" x14ac:dyDescent="0.3">
      <c r="A10" s="45" t="s">
        <v>62</v>
      </c>
      <c r="B10" s="45" t="s">
        <v>61</v>
      </c>
      <c r="C10" s="46" t="s">
        <v>59</v>
      </c>
      <c r="D10" s="47" t="s">
        <v>73</v>
      </c>
      <c r="E10" s="47"/>
      <c r="F10" s="47"/>
      <c r="G10" s="16"/>
    </row>
    <row r="11" spans="1:7" x14ac:dyDescent="0.3">
      <c r="A11" s="45" t="s">
        <v>64</v>
      </c>
      <c r="B11" s="45" t="s">
        <v>61</v>
      </c>
      <c r="C11" s="46" t="s">
        <v>63</v>
      </c>
      <c r="D11" s="47" t="s">
        <v>77</v>
      </c>
      <c r="E11" s="47"/>
      <c r="F11" s="47"/>
      <c r="G11" s="16"/>
    </row>
    <row r="12" spans="1:7" x14ac:dyDescent="0.3">
      <c r="A12" s="45" t="s">
        <v>66</v>
      </c>
      <c r="B12" s="45" t="s">
        <v>61</v>
      </c>
      <c r="C12" s="46" t="s">
        <v>65</v>
      </c>
      <c r="D12" s="47" t="s">
        <v>77</v>
      </c>
      <c r="E12" s="47"/>
      <c r="F12" s="47"/>
      <c r="G12" s="16"/>
    </row>
    <row r="13" spans="1:7" x14ac:dyDescent="0.3">
      <c r="A13" s="45" t="s">
        <v>68</v>
      </c>
      <c r="B13" s="45" t="s">
        <v>61</v>
      </c>
      <c r="C13" s="46" t="s">
        <v>67</v>
      </c>
      <c r="D13" s="47" t="s">
        <v>77</v>
      </c>
      <c r="E13" s="47"/>
      <c r="F13" s="47"/>
      <c r="G13" s="16"/>
    </row>
    <row r="14" spans="1:7" x14ac:dyDescent="0.3">
      <c r="A14" s="45" t="s">
        <v>69</v>
      </c>
      <c r="B14" s="45" t="s">
        <v>61</v>
      </c>
      <c r="C14" s="46" t="s">
        <v>67</v>
      </c>
      <c r="D14" s="47" t="s">
        <v>77</v>
      </c>
      <c r="E14" s="47"/>
      <c r="F14" s="47"/>
      <c r="G14" s="16"/>
    </row>
    <row r="15" spans="1:7" x14ac:dyDescent="0.3">
      <c r="A15" s="45" t="s">
        <v>71</v>
      </c>
      <c r="B15" s="45" t="s">
        <v>61</v>
      </c>
      <c r="C15" s="46" t="s">
        <v>70</v>
      </c>
      <c r="D15" s="47" t="s">
        <v>77</v>
      </c>
      <c r="E15" s="47"/>
      <c r="F15" s="47"/>
      <c r="G15" s="16"/>
    </row>
    <row r="16" spans="1:7" x14ac:dyDescent="0.3">
      <c r="A16" s="45">
        <v>465</v>
      </c>
      <c r="B16" s="45" t="s">
        <v>15</v>
      </c>
      <c r="C16" s="46" t="s">
        <v>10</v>
      </c>
      <c r="D16" s="47" t="s">
        <v>74</v>
      </c>
      <c r="E16" s="47"/>
      <c r="F16" s="47"/>
      <c r="G16" s="16"/>
    </row>
    <row r="17" spans="1:7" x14ac:dyDescent="0.3">
      <c r="A17" s="45">
        <v>466</v>
      </c>
      <c r="B17" s="45" t="s">
        <v>16</v>
      </c>
      <c r="C17" s="46" t="s">
        <v>10</v>
      </c>
      <c r="D17" s="47" t="s">
        <v>74</v>
      </c>
      <c r="E17" s="47"/>
      <c r="F17" s="47"/>
      <c r="G17" s="16"/>
    </row>
    <row r="18" spans="1:7" x14ac:dyDescent="0.3">
      <c r="A18" s="10">
        <v>461</v>
      </c>
      <c r="B18" s="10" t="s">
        <v>17</v>
      </c>
      <c r="C18" s="11" t="s">
        <v>11</v>
      </c>
      <c r="D18" s="22" t="s">
        <v>74</v>
      </c>
      <c r="E18" s="22"/>
      <c r="F18" s="22"/>
      <c r="G18" s="16"/>
    </row>
    <row r="19" spans="1:7" x14ac:dyDescent="0.3">
      <c r="A19" s="10">
        <v>462</v>
      </c>
      <c r="B19" s="10" t="s">
        <v>18</v>
      </c>
      <c r="C19" s="11" t="s">
        <v>11</v>
      </c>
      <c r="D19" s="22" t="s">
        <v>74</v>
      </c>
      <c r="E19" s="22"/>
      <c r="F19" s="22"/>
      <c r="G19" s="16"/>
    </row>
    <row r="20" spans="1:7" x14ac:dyDescent="0.3">
      <c r="A20" s="10">
        <v>463</v>
      </c>
      <c r="B20" s="10" t="s">
        <v>19</v>
      </c>
      <c r="C20" s="11" t="s">
        <v>11</v>
      </c>
      <c r="D20" s="22" t="s">
        <v>74</v>
      </c>
      <c r="E20" s="22"/>
      <c r="F20" s="22"/>
      <c r="G20" s="16"/>
    </row>
    <row r="21" spans="1:7" x14ac:dyDescent="0.3">
      <c r="A21" s="10">
        <v>464</v>
      </c>
      <c r="B21" s="10" t="s">
        <v>20</v>
      </c>
      <c r="C21" s="11" t="s">
        <v>11</v>
      </c>
      <c r="D21" s="22" t="s">
        <v>74</v>
      </c>
      <c r="E21" s="22"/>
      <c r="F21" s="22"/>
      <c r="G21" s="16"/>
    </row>
    <row r="22" spans="1:7" x14ac:dyDescent="0.3">
      <c r="A22" s="10">
        <v>459</v>
      </c>
      <c r="B22" s="10" t="s">
        <v>21</v>
      </c>
      <c r="C22" s="11" t="s">
        <v>12</v>
      </c>
      <c r="D22" s="22" t="s">
        <v>74</v>
      </c>
      <c r="E22" s="22"/>
      <c r="F22" s="22"/>
      <c r="G22" s="16"/>
    </row>
    <row r="23" spans="1:7" x14ac:dyDescent="0.3">
      <c r="A23" s="10">
        <v>460</v>
      </c>
      <c r="B23" s="10" t="s">
        <v>22</v>
      </c>
      <c r="C23" s="11" t="s">
        <v>12</v>
      </c>
      <c r="D23" s="22" t="s">
        <v>74</v>
      </c>
      <c r="E23" s="22"/>
      <c r="F23" s="22"/>
      <c r="G23" s="16"/>
    </row>
    <row r="24" spans="1:7" x14ac:dyDescent="0.3">
      <c r="A24" s="10">
        <v>448</v>
      </c>
      <c r="B24" s="10" t="s">
        <v>23</v>
      </c>
      <c r="C24" s="11" t="s">
        <v>13</v>
      </c>
      <c r="D24" s="22" t="s">
        <v>74</v>
      </c>
      <c r="E24" s="22"/>
      <c r="F24" s="22"/>
      <c r="G24" s="16"/>
    </row>
    <row r="25" spans="1:7" x14ac:dyDescent="0.3">
      <c r="A25" s="34">
        <v>475</v>
      </c>
      <c r="B25" s="34"/>
      <c r="C25" s="11" t="s">
        <v>13</v>
      </c>
      <c r="D25" s="22" t="s">
        <v>74</v>
      </c>
      <c r="E25" s="22"/>
      <c r="F25" s="22"/>
      <c r="G25" s="16"/>
    </row>
    <row r="26" spans="1:7" x14ac:dyDescent="0.3">
      <c r="A26" s="34">
        <v>467</v>
      </c>
      <c r="B26" s="34" t="s">
        <v>24</v>
      </c>
      <c r="C26" s="32" t="s">
        <v>14</v>
      </c>
      <c r="D26" s="33" t="s">
        <v>74</v>
      </c>
      <c r="E26" s="33"/>
      <c r="F26" s="33"/>
      <c r="G26" s="35"/>
    </row>
    <row r="27" spans="1:7" x14ac:dyDescent="0.3">
      <c r="A27" s="34" t="s">
        <v>84</v>
      </c>
      <c r="B27" s="34"/>
      <c r="C27" s="32" t="s">
        <v>82</v>
      </c>
      <c r="D27" s="33" t="s">
        <v>83</v>
      </c>
      <c r="E27" s="33"/>
      <c r="F27" s="33"/>
      <c r="G27" s="35"/>
    </row>
    <row r="28" spans="1:7" x14ac:dyDescent="0.3">
      <c r="A28" s="34" t="s">
        <v>111</v>
      </c>
      <c r="B28" s="34" t="s">
        <v>112</v>
      </c>
      <c r="C28" s="32" t="s">
        <v>126</v>
      </c>
      <c r="D28" s="33" t="s">
        <v>9</v>
      </c>
      <c r="E28" s="33"/>
      <c r="F28" s="33"/>
      <c r="G28" s="35"/>
    </row>
    <row r="29" spans="1:7" x14ac:dyDescent="0.3">
      <c r="A29" s="34" t="s">
        <v>113</v>
      </c>
      <c r="B29" s="34" t="s">
        <v>114</v>
      </c>
      <c r="C29" s="32" t="s">
        <v>126</v>
      </c>
      <c r="D29" s="33" t="s">
        <v>9</v>
      </c>
      <c r="E29" s="33"/>
      <c r="F29" s="33"/>
      <c r="G29" s="35"/>
    </row>
    <row r="30" spans="1:7" x14ac:dyDescent="0.3">
      <c r="A30" s="34" t="s">
        <v>115</v>
      </c>
      <c r="B30" s="34" t="s">
        <v>54</v>
      </c>
      <c r="C30" s="32" t="s">
        <v>123</v>
      </c>
      <c r="D30" s="33" t="s">
        <v>9</v>
      </c>
      <c r="E30" s="33"/>
      <c r="F30" s="33"/>
      <c r="G30" s="35"/>
    </row>
    <row r="31" spans="1:7" x14ac:dyDescent="0.3">
      <c r="A31" s="34" t="s">
        <v>116</v>
      </c>
      <c r="B31" s="34" t="s">
        <v>117</v>
      </c>
      <c r="C31" s="32" t="s">
        <v>123</v>
      </c>
      <c r="D31" s="33" t="s">
        <v>9</v>
      </c>
      <c r="E31" s="33"/>
      <c r="F31" s="33"/>
      <c r="G31" s="35"/>
    </row>
    <row r="32" spans="1:7" x14ac:dyDescent="0.3">
      <c r="A32" s="34" t="s">
        <v>118</v>
      </c>
      <c r="B32" s="34" t="s">
        <v>119</v>
      </c>
      <c r="C32" s="32" t="s">
        <v>124</v>
      </c>
      <c r="D32" s="33" t="s">
        <v>9</v>
      </c>
      <c r="E32" s="33"/>
      <c r="F32" s="33"/>
      <c r="G32" s="35"/>
    </row>
    <row r="33" spans="1:7" x14ac:dyDescent="0.3">
      <c r="A33" s="34" t="s">
        <v>120</v>
      </c>
      <c r="B33" s="34" t="s">
        <v>121</v>
      </c>
      <c r="C33" s="32" t="s">
        <v>125</v>
      </c>
      <c r="D33" s="33" t="s">
        <v>76</v>
      </c>
      <c r="E33" s="33"/>
      <c r="F33" s="33"/>
      <c r="G33" s="35"/>
    </row>
    <row r="34" spans="1:7" x14ac:dyDescent="0.3">
      <c r="A34" s="34" t="s">
        <v>93</v>
      </c>
      <c r="B34" s="34" t="s">
        <v>100</v>
      </c>
      <c r="C34" s="32" t="s">
        <v>82</v>
      </c>
      <c r="D34" s="33" t="s">
        <v>83</v>
      </c>
      <c r="E34" s="33"/>
      <c r="F34" s="33"/>
      <c r="G34" s="35"/>
    </row>
    <row r="35" spans="1:7" x14ac:dyDescent="0.3">
      <c r="A35" s="34" t="s">
        <v>94</v>
      </c>
      <c r="B35" s="34" t="s">
        <v>101</v>
      </c>
      <c r="C35" s="32" t="s">
        <v>82</v>
      </c>
      <c r="D35" s="33" t="s">
        <v>83</v>
      </c>
      <c r="E35" s="33"/>
      <c r="F35" s="33"/>
      <c r="G35" s="35"/>
    </row>
    <row r="36" spans="1:7" x14ac:dyDescent="0.3">
      <c r="A36" s="34" t="s">
        <v>95</v>
      </c>
      <c r="B36" s="34" t="s">
        <v>102</v>
      </c>
      <c r="C36" s="32" t="s">
        <v>82</v>
      </c>
      <c r="D36" s="33" t="s">
        <v>83</v>
      </c>
      <c r="E36" s="33"/>
      <c r="F36" s="33"/>
      <c r="G36" s="35"/>
    </row>
    <row r="37" spans="1:7" x14ac:dyDescent="0.3">
      <c r="A37" s="34" t="s">
        <v>96</v>
      </c>
      <c r="B37" s="34" t="s">
        <v>103</v>
      </c>
      <c r="C37" s="32" t="s">
        <v>82</v>
      </c>
      <c r="D37" s="33" t="s">
        <v>83</v>
      </c>
      <c r="E37" s="33"/>
      <c r="F37" s="33"/>
      <c r="G37" s="35"/>
    </row>
    <row r="38" spans="1:7" x14ac:dyDescent="0.3">
      <c r="A38" s="34" t="s">
        <v>97</v>
      </c>
      <c r="B38" s="34" t="s">
        <v>104</v>
      </c>
      <c r="C38" s="32" t="s">
        <v>82</v>
      </c>
      <c r="D38" s="33" t="s">
        <v>83</v>
      </c>
      <c r="E38" s="33"/>
      <c r="F38" s="33"/>
      <c r="G38" s="35"/>
    </row>
    <row r="39" spans="1:7" x14ac:dyDescent="0.3">
      <c r="A39" s="34" t="s">
        <v>98</v>
      </c>
      <c r="B39" s="34" t="s">
        <v>105</v>
      </c>
      <c r="C39" s="32" t="s">
        <v>82</v>
      </c>
      <c r="D39" s="33" t="s">
        <v>83</v>
      </c>
      <c r="E39" s="33"/>
      <c r="F39" s="33"/>
      <c r="G39" s="35"/>
    </row>
    <row r="40" spans="1:7" x14ac:dyDescent="0.3">
      <c r="A40" s="34" t="s">
        <v>99</v>
      </c>
      <c r="B40" s="34" t="s">
        <v>106</v>
      </c>
      <c r="C40" s="32" t="s">
        <v>82</v>
      </c>
      <c r="D40" s="33" t="s">
        <v>83</v>
      </c>
      <c r="E40" s="33"/>
      <c r="F40" s="33"/>
      <c r="G40" s="35"/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showGridLines="0" workbookViewId="0">
      <selection activeCell="H15" sqref="H15"/>
    </sheetView>
  </sheetViews>
  <sheetFormatPr baseColWidth="10" defaultColWidth="8.88671875" defaultRowHeight="14.4" x14ac:dyDescent="0.3"/>
  <cols>
    <col min="3" max="3" width="25.88671875" bestFit="1" customWidth="1"/>
    <col min="4" max="4" width="11.44140625" customWidth="1"/>
    <col min="5" max="5" width="17.33203125" bestFit="1" customWidth="1"/>
    <col min="8" max="8" width="25.88671875" bestFit="1" customWidth="1"/>
    <col min="9" max="9" width="25.88671875" customWidth="1"/>
    <col min="10" max="10" width="9.6640625" bestFit="1" customWidth="1"/>
    <col min="11" max="11" width="6.44140625" bestFit="1" customWidth="1"/>
    <col min="12" max="12" width="7.6640625" bestFit="1" customWidth="1"/>
    <col min="13" max="13" width="17.33203125" bestFit="1" customWidth="1"/>
  </cols>
  <sheetData>
    <row r="1" spans="1:13" s="1" customFormat="1" ht="15" thickBot="1" x14ac:dyDescent="0.35">
      <c r="A1" s="20" t="s">
        <v>41</v>
      </c>
      <c r="B1" s="20" t="s">
        <v>44</v>
      </c>
      <c r="C1" s="20" t="s">
        <v>43</v>
      </c>
      <c r="D1" s="20" t="s">
        <v>72</v>
      </c>
      <c r="E1" s="20" t="s">
        <v>42</v>
      </c>
      <c r="H1" s="20" t="s">
        <v>86</v>
      </c>
      <c r="I1" s="20" t="s">
        <v>88</v>
      </c>
      <c r="J1" s="20" t="s">
        <v>72</v>
      </c>
      <c r="K1" s="20" t="s">
        <v>41</v>
      </c>
      <c r="L1" s="20" t="s">
        <v>44</v>
      </c>
      <c r="M1" s="20" t="s">
        <v>42</v>
      </c>
    </row>
    <row r="2" spans="1:13" x14ac:dyDescent="0.3">
      <c r="A2" s="9" t="s">
        <v>127</v>
      </c>
      <c r="B2" s="9" t="s">
        <v>46</v>
      </c>
      <c r="C2" s="18" t="s">
        <v>45</v>
      </c>
      <c r="D2" s="21" t="s">
        <v>75</v>
      </c>
      <c r="E2" s="19" t="s">
        <v>31</v>
      </c>
      <c r="H2" s="18" t="s">
        <v>45</v>
      </c>
      <c r="I2" s="21"/>
      <c r="J2" s="21"/>
      <c r="K2" s="9"/>
      <c r="L2" s="9"/>
      <c r="M2" s="19"/>
    </row>
    <row r="3" spans="1:13" s="145" customFormat="1" x14ac:dyDescent="0.3">
      <c r="A3" s="141" t="s">
        <v>48</v>
      </c>
      <c r="B3" s="141" t="s">
        <v>17</v>
      </c>
      <c r="C3" s="142" t="s">
        <v>47</v>
      </c>
      <c r="D3" s="143" t="s">
        <v>76</v>
      </c>
      <c r="E3" s="144" t="s">
        <v>49</v>
      </c>
      <c r="H3" s="142" t="s">
        <v>47</v>
      </c>
      <c r="I3" s="143"/>
      <c r="J3" s="143"/>
      <c r="K3" s="141"/>
      <c r="L3" s="141"/>
      <c r="M3" s="144"/>
    </row>
    <row r="4" spans="1:13" s="145" customFormat="1" x14ac:dyDescent="0.3">
      <c r="A4" s="141" t="s">
        <v>51</v>
      </c>
      <c r="B4" s="141" t="s">
        <v>52</v>
      </c>
      <c r="C4" s="142" t="s">
        <v>50</v>
      </c>
      <c r="D4" s="143" t="s">
        <v>9</v>
      </c>
      <c r="E4" s="144" t="s">
        <v>49</v>
      </c>
      <c r="H4" s="142" t="s">
        <v>50</v>
      </c>
      <c r="I4" s="143"/>
      <c r="J4" s="143"/>
      <c r="K4" s="141"/>
      <c r="L4" s="141"/>
      <c r="M4" s="144"/>
    </row>
    <row r="5" spans="1:13" s="145" customFormat="1" x14ac:dyDescent="0.3">
      <c r="A5" s="150" t="s">
        <v>53</v>
      </c>
      <c r="B5" s="141" t="s">
        <v>54</v>
      </c>
      <c r="C5" s="142" t="s">
        <v>50</v>
      </c>
      <c r="D5" s="143" t="s">
        <v>9</v>
      </c>
      <c r="E5" s="144" t="s">
        <v>49</v>
      </c>
      <c r="H5" s="142" t="s">
        <v>50</v>
      </c>
      <c r="I5" s="143"/>
      <c r="J5" s="143"/>
      <c r="K5" s="150"/>
      <c r="L5" s="141"/>
      <c r="M5" s="144"/>
    </row>
    <row r="6" spans="1:13" s="145" customFormat="1" x14ac:dyDescent="0.3">
      <c r="A6" s="150" t="s">
        <v>55</v>
      </c>
      <c r="B6" s="141" t="s">
        <v>56</v>
      </c>
      <c r="C6" s="142" t="s">
        <v>50</v>
      </c>
      <c r="D6" s="143" t="s">
        <v>9</v>
      </c>
      <c r="E6" s="144" t="s">
        <v>49</v>
      </c>
      <c r="H6" s="142" t="s">
        <v>50</v>
      </c>
      <c r="I6" s="143"/>
      <c r="J6" s="143"/>
      <c r="K6" s="150"/>
      <c r="L6" s="141"/>
      <c r="M6" s="144"/>
    </row>
    <row r="7" spans="1:13" s="145" customFormat="1" x14ac:dyDescent="0.3">
      <c r="A7" s="141" t="s">
        <v>57</v>
      </c>
      <c r="B7" s="141" t="s">
        <v>58</v>
      </c>
      <c r="C7" s="142" t="s">
        <v>50</v>
      </c>
      <c r="D7" s="143" t="s">
        <v>9</v>
      </c>
      <c r="E7" s="144" t="s">
        <v>49</v>
      </c>
      <c r="H7" s="142" t="s">
        <v>50</v>
      </c>
      <c r="I7" s="143"/>
      <c r="J7" s="143"/>
      <c r="K7" s="141"/>
      <c r="L7" s="141"/>
      <c r="M7" s="144"/>
    </row>
    <row r="8" spans="1:13" s="145" customFormat="1" x14ac:dyDescent="0.3">
      <c r="A8" s="141" t="s">
        <v>256</v>
      </c>
      <c r="B8" s="141" t="s">
        <v>61</v>
      </c>
      <c r="C8" s="142" t="s">
        <v>59</v>
      </c>
      <c r="D8" s="143" t="s">
        <v>73</v>
      </c>
      <c r="E8" s="144" t="s">
        <v>49</v>
      </c>
      <c r="H8" s="142" t="s">
        <v>59</v>
      </c>
      <c r="I8" s="143"/>
      <c r="J8" s="143"/>
      <c r="K8" s="141"/>
      <c r="L8" s="141"/>
      <c r="M8" s="144"/>
    </row>
    <row r="9" spans="1:13" s="145" customFormat="1" x14ac:dyDescent="0.3">
      <c r="A9" s="141" t="s">
        <v>62</v>
      </c>
      <c r="B9" s="141" t="s">
        <v>61</v>
      </c>
      <c r="C9" s="142" t="s">
        <v>59</v>
      </c>
      <c r="D9" s="143" t="s">
        <v>73</v>
      </c>
      <c r="E9" s="144" t="s">
        <v>49</v>
      </c>
      <c r="H9" s="142" t="s">
        <v>59</v>
      </c>
      <c r="I9" s="143"/>
      <c r="J9" s="143"/>
      <c r="K9" s="141"/>
      <c r="L9" s="141"/>
      <c r="M9" s="144"/>
    </row>
    <row r="10" spans="1:13" s="145" customFormat="1" x14ac:dyDescent="0.3">
      <c r="A10" s="141" t="s">
        <v>64</v>
      </c>
      <c r="B10" s="141" t="s">
        <v>61</v>
      </c>
      <c r="C10" s="142" t="s">
        <v>63</v>
      </c>
      <c r="D10" s="143" t="s">
        <v>77</v>
      </c>
      <c r="E10" s="144" t="s">
        <v>49</v>
      </c>
      <c r="H10" s="142" t="s">
        <v>63</v>
      </c>
      <c r="I10" s="143"/>
      <c r="J10" s="143"/>
      <c r="K10" s="141"/>
      <c r="L10" s="141"/>
      <c r="M10" s="144"/>
    </row>
    <row r="11" spans="1:13" s="145" customFormat="1" x14ac:dyDescent="0.3">
      <c r="A11" s="141" t="s">
        <v>66</v>
      </c>
      <c r="B11" s="141" t="s">
        <v>61</v>
      </c>
      <c r="C11" s="142" t="s">
        <v>65</v>
      </c>
      <c r="D11" s="143" t="s">
        <v>77</v>
      </c>
      <c r="E11" s="144" t="s">
        <v>49</v>
      </c>
      <c r="H11" s="142" t="s">
        <v>65</v>
      </c>
      <c r="I11" s="143"/>
      <c r="J11" s="143"/>
      <c r="K11" s="141"/>
      <c r="L11" s="141"/>
      <c r="M11" s="144"/>
    </row>
    <row r="12" spans="1:13" s="145" customFormat="1" x14ac:dyDescent="0.3">
      <c r="A12" s="141" t="s">
        <v>68</v>
      </c>
      <c r="B12" s="141" t="s">
        <v>61</v>
      </c>
      <c r="C12" s="142" t="s">
        <v>67</v>
      </c>
      <c r="D12" s="143" t="s">
        <v>77</v>
      </c>
      <c r="E12" s="144" t="s">
        <v>49</v>
      </c>
      <c r="H12" s="142" t="s">
        <v>67</v>
      </c>
      <c r="I12" s="143"/>
      <c r="J12" s="143"/>
      <c r="K12" s="141"/>
      <c r="L12" s="141"/>
      <c r="M12" s="144"/>
    </row>
    <row r="13" spans="1:13" x14ac:dyDescent="0.3">
      <c r="A13" s="13" t="s">
        <v>69</v>
      </c>
      <c r="B13" s="13" t="s">
        <v>61</v>
      </c>
      <c r="C13" s="12" t="s">
        <v>67</v>
      </c>
      <c r="D13" s="23" t="s">
        <v>77</v>
      </c>
      <c r="E13" s="16" t="s">
        <v>49</v>
      </c>
      <c r="H13" s="12" t="s">
        <v>67</v>
      </c>
      <c r="I13" s="23"/>
      <c r="J13" s="23"/>
      <c r="K13" s="13"/>
      <c r="L13" s="13"/>
      <c r="M13" s="16"/>
    </row>
    <row r="14" spans="1:13" x14ac:dyDescent="0.3">
      <c r="A14" s="13" t="s">
        <v>71</v>
      </c>
      <c r="B14" s="13" t="s">
        <v>61</v>
      </c>
      <c r="C14" s="12" t="s">
        <v>70</v>
      </c>
      <c r="D14" s="23" t="s">
        <v>77</v>
      </c>
      <c r="E14" s="16" t="s">
        <v>49</v>
      </c>
      <c r="H14" s="12" t="s">
        <v>70</v>
      </c>
      <c r="I14" s="23"/>
      <c r="J14" s="23"/>
      <c r="K14" s="13"/>
      <c r="L14" s="13"/>
      <c r="M14" s="16"/>
    </row>
    <row r="15" spans="1:13" s="145" customFormat="1" x14ac:dyDescent="0.3">
      <c r="A15" s="141">
        <v>465</v>
      </c>
      <c r="B15" s="141" t="s">
        <v>15</v>
      </c>
      <c r="C15" s="142" t="s">
        <v>10</v>
      </c>
      <c r="D15" s="143" t="s">
        <v>74</v>
      </c>
      <c r="E15" s="144" t="s">
        <v>25</v>
      </c>
      <c r="H15" s="142" t="s">
        <v>10</v>
      </c>
      <c r="I15" s="143"/>
      <c r="J15" s="143"/>
      <c r="K15" s="141"/>
      <c r="L15" s="141"/>
      <c r="M15" s="144"/>
    </row>
    <row r="16" spans="1:13" s="145" customFormat="1" x14ac:dyDescent="0.3">
      <c r="A16" s="141">
        <v>466</v>
      </c>
      <c r="B16" s="151" t="s">
        <v>16</v>
      </c>
      <c r="C16" s="142" t="s">
        <v>10</v>
      </c>
      <c r="D16" s="143" t="s">
        <v>74</v>
      </c>
      <c r="E16" s="144" t="s">
        <v>26</v>
      </c>
      <c r="H16" s="142" t="s">
        <v>10</v>
      </c>
      <c r="I16" s="143"/>
      <c r="J16" s="143"/>
      <c r="K16" s="141"/>
      <c r="L16" s="141"/>
      <c r="M16" s="144"/>
    </row>
    <row r="17" spans="1:13" s="145" customFormat="1" x14ac:dyDescent="0.3">
      <c r="A17" s="141">
        <v>461</v>
      </c>
      <c r="B17" s="141" t="s">
        <v>17</v>
      </c>
      <c r="C17" s="142" t="s">
        <v>11</v>
      </c>
      <c r="D17" s="143" t="s">
        <v>74</v>
      </c>
      <c r="E17" s="144" t="s">
        <v>27</v>
      </c>
      <c r="H17" s="142" t="s">
        <v>11</v>
      </c>
      <c r="I17" s="143"/>
      <c r="J17" s="143"/>
      <c r="K17" s="141"/>
      <c r="L17" s="141"/>
      <c r="M17" s="144"/>
    </row>
    <row r="18" spans="1:13" s="145" customFormat="1" x14ac:dyDescent="0.3">
      <c r="A18" s="141">
        <v>462</v>
      </c>
      <c r="B18" s="141" t="s">
        <v>18</v>
      </c>
      <c r="C18" s="142" t="s">
        <v>11</v>
      </c>
      <c r="D18" s="143" t="s">
        <v>74</v>
      </c>
      <c r="E18" s="144" t="s">
        <v>28</v>
      </c>
      <c r="H18" s="142" t="s">
        <v>11</v>
      </c>
      <c r="I18" s="143"/>
      <c r="J18" s="143"/>
      <c r="K18" s="141"/>
      <c r="L18" s="141"/>
      <c r="M18" s="144"/>
    </row>
    <row r="19" spans="1:13" s="145" customFormat="1" x14ac:dyDescent="0.3">
      <c r="A19" s="141">
        <v>463</v>
      </c>
      <c r="B19" s="141" t="s">
        <v>19</v>
      </c>
      <c r="C19" s="142" t="s">
        <v>11</v>
      </c>
      <c r="D19" s="143" t="s">
        <v>74</v>
      </c>
      <c r="E19" s="144" t="s">
        <v>29</v>
      </c>
      <c r="H19" s="142" t="s">
        <v>11</v>
      </c>
      <c r="I19" s="143"/>
      <c r="J19" s="143"/>
      <c r="K19" s="141"/>
      <c r="L19" s="141"/>
      <c r="M19" s="144"/>
    </row>
    <row r="20" spans="1:13" s="145" customFormat="1" x14ac:dyDescent="0.3">
      <c r="A20" s="141">
        <v>464</v>
      </c>
      <c r="B20" s="141" t="s">
        <v>20</v>
      </c>
      <c r="C20" s="142" t="s">
        <v>11</v>
      </c>
      <c r="D20" s="143" t="s">
        <v>74</v>
      </c>
      <c r="E20" s="144" t="s">
        <v>30</v>
      </c>
      <c r="H20" s="142" t="s">
        <v>11</v>
      </c>
      <c r="I20" s="143"/>
      <c r="J20" s="143"/>
      <c r="K20" s="141"/>
      <c r="L20" s="141"/>
      <c r="M20" s="144"/>
    </row>
    <row r="21" spans="1:13" s="145" customFormat="1" x14ac:dyDescent="0.3">
      <c r="A21" s="141">
        <v>459</v>
      </c>
      <c r="B21" s="141" t="s">
        <v>21</v>
      </c>
      <c r="C21" s="142" t="s">
        <v>12</v>
      </c>
      <c r="D21" s="143" t="s">
        <v>74</v>
      </c>
      <c r="E21" s="144" t="s">
        <v>28</v>
      </c>
      <c r="H21" s="142" t="s">
        <v>12</v>
      </c>
      <c r="I21" s="143"/>
      <c r="J21" s="143"/>
      <c r="K21" s="141"/>
      <c r="L21" s="141"/>
      <c r="M21" s="144"/>
    </row>
    <row r="22" spans="1:13" s="145" customFormat="1" x14ac:dyDescent="0.3">
      <c r="A22" s="141">
        <v>460</v>
      </c>
      <c r="B22" s="141" t="s">
        <v>22</v>
      </c>
      <c r="C22" s="142" t="s">
        <v>12</v>
      </c>
      <c r="D22" s="143" t="s">
        <v>74</v>
      </c>
      <c r="E22" s="144" t="s">
        <v>30</v>
      </c>
      <c r="H22" s="142" t="s">
        <v>12</v>
      </c>
      <c r="I22" s="143"/>
      <c r="J22" s="143"/>
      <c r="K22" s="141"/>
      <c r="L22" s="141"/>
      <c r="M22" s="144"/>
    </row>
    <row r="23" spans="1:13" s="145" customFormat="1" x14ac:dyDescent="0.3">
      <c r="A23" s="141">
        <v>448</v>
      </c>
      <c r="B23" s="141" t="s">
        <v>23</v>
      </c>
      <c r="C23" s="142" t="s">
        <v>13</v>
      </c>
      <c r="D23" s="143" t="s">
        <v>74</v>
      </c>
      <c r="E23" s="144" t="s">
        <v>31</v>
      </c>
      <c r="H23" s="142" t="s">
        <v>13</v>
      </c>
      <c r="I23" s="143"/>
      <c r="J23" s="143"/>
      <c r="K23" s="141"/>
      <c r="L23" s="141"/>
      <c r="M23" s="144"/>
    </row>
    <row r="24" spans="1:13" s="145" customFormat="1" x14ac:dyDescent="0.3">
      <c r="A24" s="146">
        <v>475</v>
      </c>
      <c r="B24" s="146"/>
      <c r="C24" s="142" t="s">
        <v>13</v>
      </c>
      <c r="D24" s="143" t="s">
        <v>74</v>
      </c>
      <c r="E24" s="144" t="s">
        <v>31</v>
      </c>
      <c r="H24" s="142" t="s">
        <v>13</v>
      </c>
      <c r="I24" s="147"/>
      <c r="J24" s="147"/>
      <c r="K24" s="146"/>
      <c r="L24" s="146"/>
      <c r="M24" s="148"/>
    </row>
    <row r="25" spans="1:13" s="145" customFormat="1" x14ac:dyDescent="0.3">
      <c r="A25" s="146">
        <v>467</v>
      </c>
      <c r="B25" s="146" t="s">
        <v>24</v>
      </c>
      <c r="C25" s="149" t="s">
        <v>14</v>
      </c>
      <c r="D25" s="147" t="s">
        <v>74</v>
      </c>
      <c r="E25" s="148" t="s">
        <v>32</v>
      </c>
      <c r="H25" s="149" t="s">
        <v>14</v>
      </c>
      <c r="I25" s="147"/>
      <c r="J25" s="147"/>
      <c r="K25" s="146"/>
      <c r="L25" s="146"/>
      <c r="M25" s="148"/>
    </row>
    <row r="26" spans="1:13" s="145" customFormat="1" x14ac:dyDescent="0.3">
      <c r="A26" s="146" t="s">
        <v>111</v>
      </c>
      <c r="B26" s="146" t="s">
        <v>52</v>
      </c>
      <c r="C26" s="149" t="s">
        <v>126</v>
      </c>
      <c r="D26" s="147" t="s">
        <v>9</v>
      </c>
      <c r="E26" s="148"/>
      <c r="H26" s="149"/>
      <c r="I26" s="147"/>
      <c r="J26" s="147"/>
      <c r="K26" s="146"/>
      <c r="L26" s="146"/>
      <c r="M26" s="148"/>
    </row>
    <row r="27" spans="1:13" s="145" customFormat="1" x14ac:dyDescent="0.3">
      <c r="A27" s="146" t="s">
        <v>113</v>
      </c>
      <c r="B27" s="146" t="s">
        <v>114</v>
      </c>
      <c r="C27" s="149" t="s">
        <v>126</v>
      </c>
      <c r="D27" s="147" t="s">
        <v>9</v>
      </c>
      <c r="E27" s="148"/>
      <c r="H27" s="149"/>
      <c r="I27" s="147"/>
      <c r="J27" s="147"/>
      <c r="K27" s="146"/>
      <c r="L27" s="146"/>
      <c r="M27" s="148"/>
    </row>
    <row r="28" spans="1:13" s="145" customFormat="1" x14ac:dyDescent="0.3">
      <c r="A28" s="146" t="s">
        <v>115</v>
      </c>
      <c r="B28" s="146" t="s">
        <v>54</v>
      </c>
      <c r="C28" s="149" t="s">
        <v>123</v>
      </c>
      <c r="D28" s="147" t="s">
        <v>9</v>
      </c>
      <c r="E28" s="148"/>
      <c r="H28" s="149"/>
      <c r="I28" s="147"/>
      <c r="J28" s="147"/>
      <c r="K28" s="146"/>
      <c r="L28" s="146"/>
      <c r="M28" s="148"/>
    </row>
    <row r="29" spans="1:13" s="145" customFormat="1" x14ac:dyDescent="0.3">
      <c r="A29" s="146" t="s">
        <v>116</v>
      </c>
      <c r="B29" s="146" t="s">
        <v>117</v>
      </c>
      <c r="C29" s="149" t="s">
        <v>123</v>
      </c>
      <c r="D29" s="147" t="s">
        <v>9</v>
      </c>
      <c r="E29" s="148"/>
      <c r="H29" s="149"/>
      <c r="I29" s="147"/>
      <c r="J29" s="147"/>
      <c r="K29" s="146"/>
      <c r="L29" s="146"/>
      <c r="M29" s="148"/>
    </row>
    <row r="30" spans="1:13" s="145" customFormat="1" x14ac:dyDescent="0.3">
      <c r="A30" s="146" t="s">
        <v>118</v>
      </c>
      <c r="B30" s="146" t="s">
        <v>119</v>
      </c>
      <c r="C30" s="149" t="s">
        <v>124</v>
      </c>
      <c r="D30" s="147" t="s">
        <v>9</v>
      </c>
      <c r="E30" s="148"/>
      <c r="H30" s="149"/>
      <c r="I30" s="147"/>
      <c r="J30" s="147"/>
      <c r="K30" s="146"/>
      <c r="L30" s="146"/>
      <c r="M30" s="148"/>
    </row>
    <row r="31" spans="1:13" s="145" customFormat="1" x14ac:dyDescent="0.3">
      <c r="A31" s="146" t="s">
        <v>120</v>
      </c>
      <c r="B31" s="146" t="s">
        <v>121</v>
      </c>
      <c r="C31" s="149" t="s">
        <v>125</v>
      </c>
      <c r="D31" s="147" t="s">
        <v>76</v>
      </c>
      <c r="E31" s="148"/>
      <c r="H31" s="149"/>
      <c r="I31" s="147"/>
      <c r="J31" s="147"/>
      <c r="K31" s="146"/>
      <c r="L31" s="146"/>
      <c r="M31" s="148"/>
    </row>
    <row r="32" spans="1:13" s="145" customFormat="1" x14ac:dyDescent="0.3">
      <c r="A32" s="146" t="s">
        <v>93</v>
      </c>
      <c r="B32" s="146" t="s">
        <v>100</v>
      </c>
      <c r="C32" s="149" t="s">
        <v>82</v>
      </c>
      <c r="D32" s="147" t="s">
        <v>83</v>
      </c>
      <c r="E32" s="148"/>
      <c r="H32" s="149"/>
      <c r="I32" s="147"/>
      <c r="J32" s="147"/>
      <c r="K32" s="146"/>
      <c r="L32" s="146"/>
      <c r="M32" s="148"/>
    </row>
    <row r="33" spans="1:13" s="145" customFormat="1" x14ac:dyDescent="0.3">
      <c r="A33" s="146" t="s">
        <v>94</v>
      </c>
      <c r="B33" s="146" t="s">
        <v>101</v>
      </c>
      <c r="C33" s="149" t="s">
        <v>82</v>
      </c>
      <c r="D33" s="147" t="s">
        <v>83</v>
      </c>
      <c r="E33" s="148"/>
      <c r="H33" s="149"/>
      <c r="I33" s="147"/>
      <c r="J33" s="147"/>
      <c r="K33" s="146"/>
      <c r="L33" s="146"/>
      <c r="M33" s="148"/>
    </row>
    <row r="34" spans="1:13" s="145" customFormat="1" x14ac:dyDescent="0.3">
      <c r="A34" s="146" t="s">
        <v>95</v>
      </c>
      <c r="B34" s="146" t="s">
        <v>102</v>
      </c>
      <c r="C34" s="149" t="s">
        <v>82</v>
      </c>
      <c r="D34" s="147" t="s">
        <v>83</v>
      </c>
      <c r="E34" s="148"/>
      <c r="H34" s="149"/>
      <c r="I34" s="147"/>
      <c r="J34" s="147"/>
      <c r="K34" s="146"/>
      <c r="L34" s="146"/>
      <c r="M34" s="148"/>
    </row>
    <row r="35" spans="1:13" s="145" customFormat="1" x14ac:dyDescent="0.3">
      <c r="A35" s="146" t="s">
        <v>96</v>
      </c>
      <c r="B35" s="146" t="s">
        <v>103</v>
      </c>
      <c r="C35" s="149" t="s">
        <v>82</v>
      </c>
      <c r="D35" s="147" t="s">
        <v>83</v>
      </c>
      <c r="E35" s="148"/>
      <c r="H35" s="149"/>
      <c r="I35" s="147"/>
      <c r="J35" s="147"/>
      <c r="K35" s="146"/>
      <c r="L35" s="146"/>
      <c r="M35" s="148"/>
    </row>
    <row r="36" spans="1:13" s="145" customFormat="1" x14ac:dyDescent="0.3">
      <c r="A36" s="146" t="s">
        <v>97</v>
      </c>
      <c r="B36" s="146" t="s">
        <v>104</v>
      </c>
      <c r="C36" s="149" t="s">
        <v>82</v>
      </c>
      <c r="D36" s="147" t="s">
        <v>83</v>
      </c>
      <c r="E36" s="148"/>
      <c r="H36" s="149"/>
      <c r="I36" s="147"/>
      <c r="J36" s="147"/>
      <c r="K36" s="146"/>
      <c r="L36" s="146"/>
      <c r="M36" s="148"/>
    </row>
    <row r="37" spans="1:13" x14ac:dyDescent="0.3">
      <c r="A37" s="34" t="s">
        <v>98</v>
      </c>
      <c r="B37" s="34" t="s">
        <v>105</v>
      </c>
      <c r="C37" s="32" t="s">
        <v>82</v>
      </c>
      <c r="D37" s="33" t="s">
        <v>83</v>
      </c>
      <c r="E37" s="35"/>
      <c r="H37" s="32"/>
      <c r="I37" s="33"/>
      <c r="J37" s="33"/>
      <c r="K37" s="34"/>
      <c r="L37" s="34"/>
      <c r="M37" s="35"/>
    </row>
    <row r="38" spans="1:13" x14ac:dyDescent="0.3">
      <c r="A38" s="34" t="s">
        <v>99</v>
      </c>
      <c r="B38" s="34" t="s">
        <v>106</v>
      </c>
      <c r="C38" s="32" t="s">
        <v>82</v>
      </c>
      <c r="D38" s="33" t="s">
        <v>83</v>
      </c>
      <c r="E38" s="35"/>
      <c r="H38" s="32"/>
      <c r="I38" s="33"/>
      <c r="J38" s="33"/>
      <c r="K38" s="34"/>
      <c r="L38" s="34"/>
      <c r="M38" s="35"/>
    </row>
    <row r="39" spans="1:13" ht="15" thickBot="1" x14ac:dyDescent="0.35">
      <c r="A39" s="15"/>
      <c r="B39" s="15"/>
      <c r="C39" s="14"/>
      <c r="D39" s="24"/>
      <c r="E39" s="17"/>
      <c r="H39" s="14"/>
      <c r="I39" s="24"/>
      <c r="J39" s="24"/>
      <c r="K39" s="15"/>
      <c r="L39" s="15"/>
      <c r="M39" s="17"/>
    </row>
    <row r="40" spans="1:13" x14ac:dyDescent="0.3">
      <c r="A40" s="31"/>
      <c r="B40" s="31"/>
      <c r="C40" s="30"/>
      <c r="D40" s="30"/>
      <c r="E40" s="31"/>
    </row>
    <row r="41" spans="1:13" x14ac:dyDescent="0.3">
      <c r="A41" s="31"/>
      <c r="B41" s="31"/>
      <c r="C41" s="30"/>
      <c r="D41" s="30"/>
      <c r="E41" s="31"/>
    </row>
    <row r="42" spans="1:13" x14ac:dyDescent="0.3">
      <c r="A42" s="31"/>
      <c r="B42" s="31"/>
      <c r="C42" s="30"/>
      <c r="D42" s="30"/>
      <c r="E42" s="31"/>
    </row>
    <row r="43" spans="1:13" x14ac:dyDescent="0.3">
      <c r="A43" s="31"/>
      <c r="B43" s="31"/>
      <c r="C43" s="30"/>
      <c r="D43" s="30"/>
      <c r="E43" s="31"/>
    </row>
    <row r="44" spans="1:13" x14ac:dyDescent="0.3">
      <c r="A44" s="31"/>
      <c r="B44" s="31"/>
      <c r="C44" s="30"/>
      <c r="D44" s="30"/>
      <c r="E44" s="31"/>
    </row>
    <row r="45" spans="1:13" x14ac:dyDescent="0.3">
      <c r="A45" s="31"/>
      <c r="B45" s="31"/>
      <c r="C45" s="30"/>
      <c r="D45" s="30"/>
      <c r="E45" s="3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11-86FE-418A-B31C-181A778B345C}">
  <dimension ref="A1:H35"/>
  <sheetViews>
    <sheetView showGridLines="0" workbookViewId="0">
      <selection activeCell="B15" sqref="B15:H15"/>
    </sheetView>
  </sheetViews>
  <sheetFormatPr baseColWidth="10" defaultRowHeight="14.4" x14ac:dyDescent="0.3"/>
  <cols>
    <col min="1" max="1" width="4.88671875" customWidth="1"/>
    <col min="3" max="3" width="29.44140625" bestFit="1" customWidth="1"/>
    <col min="4" max="4" width="26.109375" customWidth="1"/>
    <col min="5" max="5" width="11.77734375" style="2" hidden="1" customWidth="1"/>
    <col min="6" max="6" width="14.109375" style="1" customWidth="1"/>
    <col min="7" max="7" width="12.21875" customWidth="1"/>
    <col min="8" max="8" width="33.109375" bestFit="1" customWidth="1"/>
  </cols>
  <sheetData>
    <row r="1" spans="1:8" s="25" customFormat="1" x14ac:dyDescent="0.3">
      <c r="A1" s="25" t="s">
        <v>158</v>
      </c>
      <c r="B1" s="25" t="s">
        <v>157</v>
      </c>
      <c r="C1" s="25" t="s">
        <v>156</v>
      </c>
      <c r="D1" s="25" t="s">
        <v>87</v>
      </c>
      <c r="E1" s="25" t="s">
        <v>40</v>
      </c>
      <c r="F1" s="25" t="s">
        <v>261</v>
      </c>
      <c r="G1" s="25" t="s">
        <v>262</v>
      </c>
      <c r="H1" s="25" t="s">
        <v>263</v>
      </c>
    </row>
    <row r="2" spans="1:8" x14ac:dyDescent="0.3">
      <c r="A2">
        <v>1</v>
      </c>
      <c r="B2" t="s">
        <v>134</v>
      </c>
      <c r="C2" t="s">
        <v>159</v>
      </c>
      <c r="D2" t="s">
        <v>151</v>
      </c>
      <c r="E2" s="2" t="s">
        <v>83</v>
      </c>
      <c r="F2" s="2" t="s">
        <v>83</v>
      </c>
      <c r="G2" s="2" t="s">
        <v>83</v>
      </c>
      <c r="H2" t="str">
        <f>+VLOOKUP(Tabla6[[#This Row],[Rut]],Hoja1!$1:$1048576,9,FALSE)</f>
        <v>nicolas_alvarez_chile@hotmail.com</v>
      </c>
    </row>
    <row r="3" spans="1:8" x14ac:dyDescent="0.3">
      <c r="A3">
        <v>2</v>
      </c>
      <c r="B3" t="s">
        <v>135</v>
      </c>
      <c r="C3" t="s">
        <v>160</v>
      </c>
      <c r="D3" t="s">
        <v>152</v>
      </c>
      <c r="E3" s="2" t="s">
        <v>212</v>
      </c>
      <c r="F3" s="2" t="s">
        <v>257</v>
      </c>
      <c r="G3" s="2" t="s">
        <v>83</v>
      </c>
      <c r="H3" t="str">
        <f>+VLOOKUP(Tabla6[[#This Row],[Rut]],Hoja1!$1:$1048576,9,FALSE)</f>
        <v>barraza4020adolfo@gmail.com</v>
      </c>
    </row>
    <row r="4" spans="1:8" x14ac:dyDescent="0.3">
      <c r="A4">
        <v>3</v>
      </c>
      <c r="B4" t="s">
        <v>136</v>
      </c>
      <c r="C4" t="s">
        <v>161</v>
      </c>
      <c r="D4" t="s">
        <v>153</v>
      </c>
      <c r="E4" s="2" t="s">
        <v>212</v>
      </c>
      <c r="F4" s="2" t="s">
        <v>73</v>
      </c>
      <c r="G4" s="2" t="s">
        <v>83</v>
      </c>
      <c r="H4" t="str">
        <f>+VLOOKUP(Tabla6[[#This Row],[Rut]],Hoja1!$1:$1048576,9,FALSE)</f>
        <v>lenin.brizuela@gmail.com</v>
      </c>
    </row>
    <row r="5" spans="1:8" x14ac:dyDescent="0.3">
      <c r="A5">
        <v>4</v>
      </c>
      <c r="B5" t="s">
        <v>137</v>
      </c>
      <c r="C5" t="s">
        <v>162</v>
      </c>
      <c r="D5" t="s">
        <v>152</v>
      </c>
      <c r="E5" s="2" t="s">
        <v>212</v>
      </c>
      <c r="F5" s="2" t="s">
        <v>257</v>
      </c>
      <c r="G5" s="2" t="s">
        <v>83</v>
      </c>
      <c r="H5" t="str">
        <f>+VLOOKUP(Tabla6[[#This Row],[Rut]],Hoja1!$1:$1048576,9,FALSE)</f>
        <v>javi30guiller@gmail.com</v>
      </c>
    </row>
    <row r="6" spans="1:8" x14ac:dyDescent="0.3">
      <c r="A6">
        <v>5</v>
      </c>
      <c r="B6" t="s">
        <v>138</v>
      </c>
      <c r="C6" t="s">
        <v>163</v>
      </c>
      <c r="D6" t="s">
        <v>152</v>
      </c>
      <c r="E6" s="2" t="s">
        <v>212</v>
      </c>
      <c r="F6" s="2" t="s">
        <v>257</v>
      </c>
      <c r="G6" s="2" t="s">
        <v>83</v>
      </c>
      <c r="H6" t="str">
        <f>+VLOOKUP(Tabla6[[#This Row],[Rut]],Hoja1!$1:$1048576,9,FALSE)</f>
        <v>fcoello1966@hotmail.com</v>
      </c>
    </row>
    <row r="7" spans="1:8" x14ac:dyDescent="0.3">
      <c r="A7">
        <v>6</v>
      </c>
      <c r="B7" t="s">
        <v>139</v>
      </c>
      <c r="C7" t="s">
        <v>164</v>
      </c>
      <c r="D7" t="s">
        <v>151</v>
      </c>
      <c r="E7" s="2" t="s">
        <v>83</v>
      </c>
      <c r="F7" s="2" t="s">
        <v>83</v>
      </c>
      <c r="G7" s="2" t="s">
        <v>83</v>
      </c>
      <c r="H7" t="str">
        <f>+VLOOKUP(Tabla6[[#This Row],[Rut]],Hoja1!$1:$1048576,9,FALSE)</f>
        <v>diaz.jordan2013@gmail.com</v>
      </c>
    </row>
    <row r="8" spans="1:8" x14ac:dyDescent="0.3">
      <c r="A8">
        <v>7</v>
      </c>
      <c r="B8" t="s">
        <v>140</v>
      </c>
      <c r="C8" t="s">
        <v>165</v>
      </c>
      <c r="D8" t="s">
        <v>151</v>
      </c>
      <c r="E8" s="2" t="s">
        <v>83</v>
      </c>
      <c r="F8" s="2" t="s">
        <v>83</v>
      </c>
      <c r="G8" s="2" t="s">
        <v>83</v>
      </c>
      <c r="H8" t="str">
        <f>+VLOOKUP(Tabla6[[#This Row],[Rut]],Hoja1!$1:$1048576,9,FALSE)</f>
        <v>koky-jimenez20@hotmail.com</v>
      </c>
    </row>
    <row r="9" spans="1:8" x14ac:dyDescent="0.3">
      <c r="A9">
        <v>8</v>
      </c>
      <c r="B9" t="s">
        <v>141</v>
      </c>
      <c r="C9" t="s">
        <v>166</v>
      </c>
      <c r="D9" t="s">
        <v>154</v>
      </c>
      <c r="E9" s="2" t="s">
        <v>213</v>
      </c>
      <c r="F9" s="1" t="s">
        <v>258</v>
      </c>
      <c r="G9" s="2" t="s">
        <v>83</v>
      </c>
      <c r="H9" t="str">
        <f>+VLOOKUP(Tabla6[[#This Row],[Rut]],Hoja1!$1:$1048576,9,FALSE)</f>
        <v>johnyangelm@gmail.com</v>
      </c>
    </row>
    <row r="10" spans="1:8" x14ac:dyDescent="0.3">
      <c r="A10">
        <v>9</v>
      </c>
      <c r="B10" t="s">
        <v>142</v>
      </c>
      <c r="C10" t="s">
        <v>167</v>
      </c>
      <c r="D10" t="s">
        <v>152</v>
      </c>
      <c r="E10" s="2" t="s">
        <v>212</v>
      </c>
      <c r="F10" s="2" t="s">
        <v>257</v>
      </c>
      <c r="G10" s="2" t="s">
        <v>83</v>
      </c>
      <c r="H10" t="str">
        <f>+VLOOKUP(Tabla6[[#This Row],[Rut]],Hoja1!$1:$1048576,9,FALSE)</f>
        <v>emeliymauro2015@gmail.com</v>
      </c>
    </row>
    <row r="11" spans="1:8" x14ac:dyDescent="0.3">
      <c r="A11">
        <v>10</v>
      </c>
      <c r="B11" t="s">
        <v>143</v>
      </c>
      <c r="C11" t="s">
        <v>168</v>
      </c>
      <c r="D11" t="s">
        <v>153</v>
      </c>
      <c r="E11" s="2" t="s">
        <v>212</v>
      </c>
      <c r="F11" s="2" t="s">
        <v>73</v>
      </c>
      <c r="G11" s="2" t="s">
        <v>83</v>
      </c>
      <c r="H11" t="str">
        <f>+VLOOKUP(Tabla6[[#This Row],[Rut]],Hoja1!$1:$1048576,9,FALSE)</f>
        <v>smppka@gmail.com</v>
      </c>
    </row>
    <row r="12" spans="1:8" x14ac:dyDescent="0.3">
      <c r="A12">
        <v>11</v>
      </c>
      <c r="B12" t="s">
        <v>144</v>
      </c>
      <c r="C12" t="s">
        <v>169</v>
      </c>
      <c r="D12" t="s">
        <v>151</v>
      </c>
      <c r="E12" s="2" t="s">
        <v>83</v>
      </c>
      <c r="F12" s="2" t="s">
        <v>83</v>
      </c>
      <c r="G12" s="2" t="s">
        <v>83</v>
      </c>
      <c r="H12" t="str">
        <f>+VLOOKUP(Tabla6[[#This Row],[Rut]],Hoja1!$1:$1048576,9,FALSE)</f>
        <v>salomonpereira72@gmail.com</v>
      </c>
    </row>
    <row r="13" spans="1:8" x14ac:dyDescent="0.3">
      <c r="A13">
        <v>12</v>
      </c>
      <c r="B13" t="s">
        <v>145</v>
      </c>
      <c r="C13" t="s">
        <v>170</v>
      </c>
      <c r="D13" t="s">
        <v>151</v>
      </c>
      <c r="E13" s="2" t="s">
        <v>83</v>
      </c>
      <c r="F13" s="2" t="s">
        <v>83</v>
      </c>
      <c r="G13" s="2" t="s">
        <v>83</v>
      </c>
      <c r="H13" t="str">
        <f>+VLOOKUP(Tabla6[[#This Row],[Rut]],Hoja1!$1:$1048576,9,FALSE)</f>
        <v>rr.antonio2003@gmail.com</v>
      </c>
    </row>
    <row r="14" spans="1:8" x14ac:dyDescent="0.3">
      <c r="A14">
        <v>13</v>
      </c>
      <c r="B14" t="s">
        <v>146</v>
      </c>
      <c r="C14" t="s">
        <v>171</v>
      </c>
      <c r="D14" t="s">
        <v>155</v>
      </c>
      <c r="E14" s="2" t="s">
        <v>83</v>
      </c>
      <c r="F14" s="2" t="s">
        <v>83</v>
      </c>
      <c r="G14" s="2" t="s">
        <v>83</v>
      </c>
      <c r="H14" t="str">
        <f>+VLOOKUP(Tabla6[[#This Row],[Rut]],Hoja1!$1:$1048576,9,FALSE)</f>
        <v>javier.alej.seg@gmail.com</v>
      </c>
    </row>
    <row r="15" spans="1:8" x14ac:dyDescent="0.3">
      <c r="A15">
        <v>14</v>
      </c>
      <c r="B15" t="s">
        <v>147</v>
      </c>
      <c r="C15" t="s">
        <v>172</v>
      </c>
      <c r="D15" t="s">
        <v>152</v>
      </c>
      <c r="E15" s="2" t="s">
        <v>212</v>
      </c>
      <c r="F15" s="2" t="s">
        <v>257</v>
      </c>
      <c r="G15" s="2" t="s">
        <v>83</v>
      </c>
      <c r="H15" t="str">
        <f>+VLOOKUP(Tabla6[[#This Row],[Rut]],Hoja1!$1:$1048576,9,FALSE)</f>
        <v>cesartoledovidal@gmail.com</v>
      </c>
    </row>
    <row r="16" spans="1:8" x14ac:dyDescent="0.3">
      <c r="A16">
        <v>15</v>
      </c>
      <c r="B16" t="s">
        <v>148</v>
      </c>
      <c r="C16" t="s">
        <v>173</v>
      </c>
      <c r="D16" t="s">
        <v>151</v>
      </c>
      <c r="E16" s="2" t="s">
        <v>211</v>
      </c>
      <c r="F16" s="2" t="s">
        <v>211</v>
      </c>
      <c r="G16" s="2" t="s">
        <v>83</v>
      </c>
      <c r="H16" t="str">
        <f>+VLOOKUP(Tabla6[[#This Row],[Rut]],Hoja1!$1:$1048576,9,FALSE)</f>
        <v>tororene@hotmail.com</v>
      </c>
    </row>
    <row r="17" spans="1:8" x14ac:dyDescent="0.3">
      <c r="A17">
        <v>16</v>
      </c>
      <c r="B17" t="s">
        <v>149</v>
      </c>
      <c r="C17" t="s">
        <v>174</v>
      </c>
      <c r="D17" t="s">
        <v>151</v>
      </c>
      <c r="E17" s="2" t="s">
        <v>83</v>
      </c>
      <c r="F17" s="2" t="s">
        <v>83</v>
      </c>
      <c r="G17" s="2" t="s">
        <v>83</v>
      </c>
      <c r="H17" t="str">
        <f>+VLOOKUP(Tabla6[[#This Row],[Rut]],Hoja1!$1:$1048576,9,FALSE)</f>
        <v>felipe.ivega@gmail.com</v>
      </c>
    </row>
    <row r="18" spans="1:8" x14ac:dyDescent="0.3">
      <c r="A18">
        <v>17</v>
      </c>
      <c r="B18" t="s">
        <v>150</v>
      </c>
      <c r="C18" t="s">
        <v>175</v>
      </c>
      <c r="D18" t="s">
        <v>152</v>
      </c>
      <c r="E18" s="2" t="s">
        <v>212</v>
      </c>
      <c r="F18" s="2" t="s">
        <v>259</v>
      </c>
      <c r="G18" s="2" t="s">
        <v>83</v>
      </c>
      <c r="H18" t="str">
        <f>+VLOOKUP(Tabla6[[#This Row],[Rut]],Hoja1!$1:$1048576,9,FALSE)</f>
        <v>f.zola.rojas@hotmail.com</v>
      </c>
    </row>
    <row r="19" spans="1:8" x14ac:dyDescent="0.3">
      <c r="A19">
        <v>18</v>
      </c>
      <c r="B19" t="s">
        <v>178</v>
      </c>
      <c r="C19" t="s">
        <v>176</v>
      </c>
      <c r="D19" t="s">
        <v>177</v>
      </c>
      <c r="E19" s="2" t="s">
        <v>211</v>
      </c>
      <c r="F19" s="2" t="s">
        <v>211</v>
      </c>
      <c r="G19" s="2" t="s">
        <v>83</v>
      </c>
      <c r="H19" t="str">
        <f>+VLOOKUP(Tabla6[[#This Row],[Rut]],Hoja1!$1:$1048576,9,FALSE)</f>
        <v>williams.laguna.toledo@gmail.com</v>
      </c>
    </row>
    <row r="20" spans="1:8" x14ac:dyDescent="0.3">
      <c r="A20">
        <v>19</v>
      </c>
      <c r="B20" t="s">
        <v>179</v>
      </c>
      <c r="C20" t="s">
        <v>183</v>
      </c>
      <c r="D20" t="s">
        <v>177</v>
      </c>
      <c r="E20" s="2" t="s">
        <v>211</v>
      </c>
      <c r="F20" s="2" t="s">
        <v>211</v>
      </c>
      <c r="G20" s="2" t="s">
        <v>83</v>
      </c>
      <c r="H20" t="str">
        <f>+VLOOKUP(Tabla6[[#This Row],[Rut]],Hoja1!$1:$1048576,9,FALSE)</f>
        <v>lopezlopezwilbert2@gmail.com</v>
      </c>
    </row>
    <row r="21" spans="1:8" x14ac:dyDescent="0.3">
      <c r="A21">
        <v>20</v>
      </c>
      <c r="B21" t="s">
        <v>180</v>
      </c>
      <c r="C21" t="s">
        <v>184</v>
      </c>
      <c r="D21" t="s">
        <v>177</v>
      </c>
      <c r="E21" s="2" t="s">
        <v>211</v>
      </c>
      <c r="F21" s="2" t="s">
        <v>211</v>
      </c>
      <c r="G21" s="2" t="s">
        <v>83</v>
      </c>
      <c r="H21" t="str">
        <f>+VLOOKUP(Tabla6[[#This Row],[Rut]],Hoja1!$1:$1048576,9,FALSE)</f>
        <v>jordanorellanac94@gmail.com</v>
      </c>
    </row>
    <row r="22" spans="1:8" x14ac:dyDescent="0.3">
      <c r="A22">
        <v>21</v>
      </c>
      <c r="B22" t="s">
        <v>181</v>
      </c>
      <c r="C22" t="s">
        <v>185</v>
      </c>
      <c r="D22" t="s">
        <v>177</v>
      </c>
      <c r="E22" s="2" t="s">
        <v>211</v>
      </c>
      <c r="F22" s="2" t="s">
        <v>211</v>
      </c>
      <c r="G22" s="2" t="s">
        <v>83</v>
      </c>
      <c r="H22" t="str">
        <f>+VLOOKUP(Tabla6[[#This Row],[Rut]],Hoja1!$1:$1048576,9,FALSE)</f>
        <v>aladinruiz21@gmail.com</v>
      </c>
    </row>
    <row r="23" spans="1:8" x14ac:dyDescent="0.3">
      <c r="A23">
        <v>22</v>
      </c>
      <c r="B23" t="s">
        <v>182</v>
      </c>
      <c r="C23" t="s">
        <v>186</v>
      </c>
      <c r="D23" t="s">
        <v>177</v>
      </c>
      <c r="E23" s="2" t="s">
        <v>211</v>
      </c>
      <c r="F23" s="2" t="s">
        <v>211</v>
      </c>
      <c r="G23" s="2" t="s">
        <v>83</v>
      </c>
      <c r="H23" t="str">
        <f>+VLOOKUP(Tabla6[[#This Row],[Rut]],Hoja1!$1:$1048576,9,FALSE)</f>
        <v>bastian.alfredo.valdivia@gmail.com</v>
      </c>
    </row>
    <row r="24" spans="1:8" x14ac:dyDescent="0.3">
      <c r="A24">
        <v>23</v>
      </c>
      <c r="B24" t="s">
        <v>188</v>
      </c>
      <c r="C24" s="157" t="s">
        <v>187</v>
      </c>
      <c r="D24" t="s">
        <v>177</v>
      </c>
      <c r="E24" s="2" t="s">
        <v>211</v>
      </c>
      <c r="F24" s="2" t="s">
        <v>211</v>
      </c>
      <c r="G24" s="2" t="s">
        <v>83</v>
      </c>
      <c r="H24" t="s">
        <v>606</v>
      </c>
    </row>
    <row r="25" spans="1:8" x14ac:dyDescent="0.3">
      <c r="A25">
        <v>24</v>
      </c>
      <c r="B25" t="s">
        <v>195</v>
      </c>
      <c r="C25" t="s">
        <v>189</v>
      </c>
      <c r="D25" t="s">
        <v>191</v>
      </c>
      <c r="E25" s="2" t="s">
        <v>83</v>
      </c>
      <c r="F25" s="2" t="s">
        <v>83</v>
      </c>
      <c r="G25" s="2" t="s">
        <v>83</v>
      </c>
      <c r="H25" s="155" t="s">
        <v>721</v>
      </c>
    </row>
    <row r="26" spans="1:8" x14ac:dyDescent="0.3">
      <c r="A26">
        <v>25</v>
      </c>
      <c r="B26" t="s">
        <v>196</v>
      </c>
      <c r="C26" t="s">
        <v>190</v>
      </c>
      <c r="D26" t="s">
        <v>192</v>
      </c>
      <c r="E26" s="2" t="s">
        <v>83</v>
      </c>
      <c r="F26" s="2" t="s">
        <v>83</v>
      </c>
      <c r="G26" s="2" t="s">
        <v>83</v>
      </c>
      <c r="H26" s="155" t="s">
        <v>722</v>
      </c>
    </row>
    <row r="27" spans="1:8" x14ac:dyDescent="0.3">
      <c r="A27">
        <v>26</v>
      </c>
      <c r="B27" t="s">
        <v>197</v>
      </c>
      <c r="C27" t="s">
        <v>193</v>
      </c>
      <c r="D27" t="s">
        <v>191</v>
      </c>
      <c r="E27" s="2" t="s">
        <v>83</v>
      </c>
      <c r="F27" s="2" t="s">
        <v>83</v>
      </c>
      <c r="G27" s="2" t="s">
        <v>83</v>
      </c>
      <c r="H27" t="str">
        <f>+VLOOKUP(Tabla6[[#This Row],[Rut]],Hoja1!$1:$1048576,9,FALSE)</f>
        <v>guillecofre@hotmail.com</v>
      </c>
    </row>
    <row r="28" spans="1:8" x14ac:dyDescent="0.3">
      <c r="A28">
        <v>27</v>
      </c>
      <c r="B28" t="s">
        <v>198</v>
      </c>
      <c r="C28" t="s">
        <v>194</v>
      </c>
      <c r="D28" t="s">
        <v>202</v>
      </c>
      <c r="E28" s="2" t="s">
        <v>83</v>
      </c>
      <c r="F28" s="2" t="s">
        <v>83</v>
      </c>
      <c r="G28" s="2" t="s">
        <v>83</v>
      </c>
      <c r="H28" t="str">
        <f>+VLOOKUP(Tabla6[[#This Row],[Rut]],Hoja1!$1:$1048576,9,FALSE)</f>
        <v>fmendez@rfp-logistica.cl</v>
      </c>
    </row>
    <row r="29" spans="1:8" x14ac:dyDescent="0.3">
      <c r="A29">
        <v>28</v>
      </c>
      <c r="B29" t="s">
        <v>199</v>
      </c>
      <c r="C29" t="s">
        <v>204</v>
      </c>
      <c r="D29" t="s">
        <v>191</v>
      </c>
      <c r="E29" s="2" t="s">
        <v>83</v>
      </c>
      <c r="F29" s="2" t="s">
        <v>83</v>
      </c>
      <c r="G29" s="2" t="s">
        <v>83</v>
      </c>
      <c r="H29" t="str">
        <f>+VLOOKUP(Tabla6[[#This Row],[Rut]],Hoja1!$1:$1048576,9,FALSE)</f>
        <v>abraham.sotraser@gmail.com</v>
      </c>
    </row>
    <row r="30" spans="1:8" x14ac:dyDescent="0.3">
      <c r="A30">
        <v>29</v>
      </c>
      <c r="B30" t="s">
        <v>200</v>
      </c>
      <c r="C30" t="s">
        <v>205</v>
      </c>
      <c r="D30" t="s">
        <v>202</v>
      </c>
      <c r="E30" s="2" t="s">
        <v>83</v>
      </c>
      <c r="F30" s="2" t="s">
        <v>83</v>
      </c>
      <c r="G30" s="2" t="s">
        <v>83</v>
      </c>
      <c r="H30" s="155" t="s">
        <v>723</v>
      </c>
    </row>
    <row r="31" spans="1:8" x14ac:dyDescent="0.3">
      <c r="A31">
        <v>30</v>
      </c>
      <c r="B31" t="s">
        <v>201</v>
      </c>
      <c r="C31" t="s">
        <v>206</v>
      </c>
      <c r="D31" t="s">
        <v>203</v>
      </c>
      <c r="E31" s="2" t="s">
        <v>83</v>
      </c>
      <c r="F31" s="2" t="s">
        <v>83</v>
      </c>
      <c r="G31" s="2" t="s">
        <v>83</v>
      </c>
      <c r="H31" s="155" t="s">
        <v>724</v>
      </c>
    </row>
    <row r="32" spans="1:8" x14ac:dyDescent="0.3">
      <c r="B32" t="s">
        <v>208</v>
      </c>
      <c r="C32" t="s">
        <v>207</v>
      </c>
      <c r="D32" t="s">
        <v>177</v>
      </c>
      <c r="E32" s="2" t="s">
        <v>83</v>
      </c>
      <c r="F32" s="2" t="s">
        <v>83</v>
      </c>
      <c r="G32" s="2" t="s">
        <v>83</v>
      </c>
      <c r="H32" t="str">
        <f>+VLOOKUP(Tabla6[[#This Row],[Rut]],Hoja1!$1:$1048576,9,FALSE)</f>
        <v>sk.olmosr@gmail.com</v>
      </c>
    </row>
    <row r="33" spans="2:8" x14ac:dyDescent="0.3">
      <c r="B33" t="s">
        <v>209</v>
      </c>
      <c r="C33" t="s">
        <v>210</v>
      </c>
      <c r="D33" t="s">
        <v>177</v>
      </c>
      <c r="E33" s="2" t="s">
        <v>83</v>
      </c>
      <c r="F33" s="2" t="s">
        <v>83</v>
      </c>
      <c r="G33" s="2" t="s">
        <v>83</v>
      </c>
      <c r="H33" t="str">
        <f>+VLOOKUP(Tabla6[[#This Row],[Rut]],Hoja1!$1:$1048576,9,FALSE)</f>
        <v>alan.vega@hotmail.com</v>
      </c>
    </row>
    <row r="34" spans="2:8" x14ac:dyDescent="0.3">
      <c r="C34" t="s">
        <v>260</v>
      </c>
      <c r="D34" t="s">
        <v>177</v>
      </c>
      <c r="E34" s="2" t="s">
        <v>211</v>
      </c>
      <c r="F34" s="2" t="s">
        <v>211</v>
      </c>
      <c r="H34" t="e">
        <f>+VLOOKUP(Tabla6[[#This Row],[Rut]],Hoja1!$1:$1048576,9,FALSE)</f>
        <v>#N/A</v>
      </c>
    </row>
    <row r="35" spans="2:8" x14ac:dyDescent="0.3">
      <c r="H35" t="e">
        <f>+VLOOKUP(Tabla6[[#This Row],[Rut]],Hoja1!$1:$1048576,9,FALSE)</f>
        <v>#N/A</v>
      </c>
    </row>
  </sheetData>
  <hyperlinks>
    <hyperlink ref="H25" r:id="rId1" xr:uid="{BF6605AA-DD69-4953-BC71-A13F18675785}"/>
    <hyperlink ref="H26" r:id="rId2" xr:uid="{1E23F735-3D00-4405-8AC7-1EA6B343108C}"/>
    <hyperlink ref="H30" r:id="rId3" xr:uid="{E9E26426-D677-494A-BDE1-B8CE3F7E4371}"/>
    <hyperlink ref="H31" r:id="rId4" xr:uid="{7808FCF4-F52F-4382-90BD-FA3B3765A416}"/>
  </hyperlinks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FEB9-65F5-4CAC-839D-DD236BFF2E80}">
  <dimension ref="A1:P71"/>
  <sheetViews>
    <sheetView workbookViewId="0">
      <selection activeCell="C5" sqref="C5"/>
    </sheetView>
  </sheetViews>
  <sheetFormatPr baseColWidth="10" defaultRowHeight="14.4" x14ac:dyDescent="0.3"/>
  <cols>
    <col min="1" max="1" width="16" customWidth="1"/>
    <col min="2" max="2" width="19.44140625" bestFit="1" customWidth="1"/>
    <col min="3" max="3" width="13.88671875" customWidth="1"/>
    <col min="4" max="4" width="22.77734375" customWidth="1"/>
    <col min="5" max="5" width="14.33203125" customWidth="1"/>
    <col min="6" max="6" width="12" customWidth="1"/>
    <col min="7" max="7" width="9.44140625" customWidth="1"/>
    <col min="8" max="8" width="15.5546875" customWidth="1"/>
    <col min="9" max="9" width="43.109375" customWidth="1"/>
    <col min="10" max="10" width="19.44140625" bestFit="1" customWidth="1"/>
    <col min="11" max="11" width="33.21875" customWidth="1"/>
    <col min="12" max="12" width="18.5546875" customWidth="1"/>
    <col min="13" max="13" width="33.5546875" bestFit="1" customWidth="1"/>
  </cols>
  <sheetData>
    <row r="1" spans="1:16" s="157" customFormat="1" x14ac:dyDescent="0.3">
      <c r="A1" s="157" t="s">
        <v>264</v>
      </c>
      <c r="B1" s="157" t="s">
        <v>265</v>
      </c>
      <c r="C1" s="157" t="s">
        <v>266</v>
      </c>
      <c r="D1" s="157" t="s">
        <v>267</v>
      </c>
      <c r="E1" s="157" t="s">
        <v>268</v>
      </c>
      <c r="F1" s="157" t="s">
        <v>269</v>
      </c>
      <c r="G1" s="157" t="s">
        <v>270</v>
      </c>
      <c r="H1" s="157" t="s">
        <v>271</v>
      </c>
      <c r="I1" s="157" t="s">
        <v>272</v>
      </c>
      <c r="J1" s="157" t="s">
        <v>273</v>
      </c>
      <c r="K1" s="157" t="s">
        <v>274</v>
      </c>
      <c r="L1" s="157" t="s">
        <v>275</v>
      </c>
      <c r="M1" s="157" t="s">
        <v>276</v>
      </c>
      <c r="N1" s="157" t="s">
        <v>277</v>
      </c>
    </row>
    <row r="2" spans="1:16" x14ac:dyDescent="0.3">
      <c r="A2" t="s">
        <v>278</v>
      </c>
      <c r="B2" t="s">
        <v>279</v>
      </c>
      <c r="C2" t="s">
        <v>280</v>
      </c>
      <c r="D2" t="s">
        <v>281</v>
      </c>
      <c r="E2" s="152">
        <v>28544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  <c r="L2" s="152">
        <v>45812</v>
      </c>
      <c r="M2" t="s">
        <v>288</v>
      </c>
    </row>
    <row r="3" spans="1:16" x14ac:dyDescent="0.3">
      <c r="A3" t="s">
        <v>134</v>
      </c>
      <c r="B3" t="s">
        <v>289</v>
      </c>
      <c r="C3" t="s">
        <v>290</v>
      </c>
      <c r="D3" t="s">
        <v>291</v>
      </c>
      <c r="E3" s="3">
        <v>33455</v>
      </c>
      <c r="F3" t="s">
        <v>282</v>
      </c>
      <c r="G3" t="s">
        <v>283</v>
      </c>
      <c r="H3">
        <v>992536150</v>
      </c>
      <c r="I3" t="s">
        <v>292</v>
      </c>
      <c r="J3" t="s">
        <v>286</v>
      </c>
      <c r="K3" t="s">
        <v>293</v>
      </c>
      <c r="L3" s="3">
        <v>45889</v>
      </c>
      <c r="M3" t="s">
        <v>151</v>
      </c>
      <c r="N3" t="s">
        <v>294</v>
      </c>
    </row>
    <row r="4" spans="1:16" x14ac:dyDescent="0.3">
      <c r="A4" t="s">
        <v>295</v>
      </c>
      <c r="B4" t="s">
        <v>296</v>
      </c>
      <c r="C4" t="s">
        <v>297</v>
      </c>
      <c r="D4" t="s">
        <v>298</v>
      </c>
      <c r="E4" s="152">
        <v>31311</v>
      </c>
      <c r="F4" t="s">
        <v>282</v>
      </c>
      <c r="G4" t="s">
        <v>283</v>
      </c>
      <c r="H4" t="s">
        <v>299</v>
      </c>
      <c r="I4" t="s">
        <v>300</v>
      </c>
      <c r="J4" t="s">
        <v>286</v>
      </c>
      <c r="K4" t="s">
        <v>301</v>
      </c>
      <c r="L4" s="152">
        <v>45809</v>
      </c>
      <c r="M4" t="s">
        <v>177</v>
      </c>
      <c r="N4" t="s">
        <v>302</v>
      </c>
    </row>
    <row r="5" spans="1:16" x14ac:dyDescent="0.3">
      <c r="A5" t="s">
        <v>135</v>
      </c>
      <c r="B5" t="s">
        <v>303</v>
      </c>
      <c r="C5" t="s">
        <v>304</v>
      </c>
      <c r="D5" t="s">
        <v>305</v>
      </c>
      <c r="E5" s="152">
        <v>23274</v>
      </c>
      <c r="F5" t="s">
        <v>282</v>
      </c>
      <c r="G5" t="s">
        <v>283</v>
      </c>
      <c r="H5" t="s">
        <v>306</v>
      </c>
      <c r="I5" t="s">
        <v>307</v>
      </c>
      <c r="J5" t="s">
        <v>286</v>
      </c>
      <c r="K5" t="s">
        <v>308</v>
      </c>
      <c r="L5" s="152">
        <v>45810</v>
      </c>
      <c r="M5" t="s">
        <v>152</v>
      </c>
      <c r="N5" t="s">
        <v>309</v>
      </c>
    </row>
    <row r="6" spans="1:16" x14ac:dyDescent="0.3">
      <c r="A6" t="s">
        <v>136</v>
      </c>
      <c r="B6" t="s">
        <v>310</v>
      </c>
      <c r="C6" t="s">
        <v>311</v>
      </c>
      <c r="D6" t="s">
        <v>312</v>
      </c>
      <c r="E6" s="152">
        <v>25927</v>
      </c>
      <c r="F6" t="s">
        <v>282</v>
      </c>
      <c r="G6" t="s">
        <v>283</v>
      </c>
      <c r="H6" t="s">
        <v>313</v>
      </c>
      <c r="I6" t="s">
        <v>314</v>
      </c>
      <c r="J6" t="s">
        <v>286</v>
      </c>
      <c r="K6" t="s">
        <v>315</v>
      </c>
      <c r="L6" s="152">
        <v>45810</v>
      </c>
      <c r="M6" t="s">
        <v>153</v>
      </c>
      <c r="N6" t="s">
        <v>316</v>
      </c>
    </row>
    <row r="7" spans="1:16" x14ac:dyDescent="0.3">
      <c r="A7" t="s">
        <v>195</v>
      </c>
      <c r="B7" t="s">
        <v>317</v>
      </c>
      <c r="C7" t="s">
        <v>317</v>
      </c>
      <c r="D7" t="s">
        <v>318</v>
      </c>
      <c r="E7" s="152">
        <v>31171</v>
      </c>
      <c r="F7" t="s">
        <v>282</v>
      </c>
      <c r="G7" t="s">
        <v>283</v>
      </c>
      <c r="H7" s="6">
        <v>939512825</v>
      </c>
      <c r="J7" t="s">
        <v>286</v>
      </c>
      <c r="K7" t="s">
        <v>319</v>
      </c>
      <c r="L7" s="152">
        <v>45901</v>
      </c>
      <c r="M7" t="s">
        <v>191</v>
      </c>
      <c r="N7" t="s">
        <v>302</v>
      </c>
    </row>
    <row r="8" spans="1:16" x14ac:dyDescent="0.3">
      <c r="A8" t="s">
        <v>320</v>
      </c>
      <c r="B8" t="s">
        <v>317</v>
      </c>
      <c r="C8" t="s">
        <v>321</v>
      </c>
      <c r="D8" t="s">
        <v>322</v>
      </c>
      <c r="E8" s="152">
        <v>36649</v>
      </c>
      <c r="F8" t="s">
        <v>282</v>
      </c>
      <c r="G8" t="s">
        <v>283</v>
      </c>
      <c r="H8" t="s">
        <v>323</v>
      </c>
      <c r="I8" t="s">
        <v>324</v>
      </c>
      <c r="J8" t="s">
        <v>286</v>
      </c>
      <c r="K8" t="s">
        <v>325</v>
      </c>
      <c r="L8" s="152">
        <v>45809</v>
      </c>
      <c r="M8" t="s">
        <v>288</v>
      </c>
    </row>
    <row r="9" spans="1:16" x14ac:dyDescent="0.3">
      <c r="A9" t="s">
        <v>196</v>
      </c>
      <c r="B9" t="s">
        <v>326</v>
      </c>
      <c r="C9" t="s">
        <v>327</v>
      </c>
      <c r="D9" t="s">
        <v>328</v>
      </c>
      <c r="E9" s="153" t="s">
        <v>329</v>
      </c>
      <c r="F9" t="s">
        <v>282</v>
      </c>
      <c r="G9" t="s">
        <v>283</v>
      </c>
      <c r="H9">
        <v>975228501</v>
      </c>
      <c r="I9" s="154" t="s">
        <v>330</v>
      </c>
      <c r="J9" t="s">
        <v>286</v>
      </c>
      <c r="K9" t="s">
        <v>331</v>
      </c>
      <c r="L9" s="152">
        <v>45922</v>
      </c>
      <c r="M9" t="s">
        <v>192</v>
      </c>
      <c r="N9" t="s">
        <v>332</v>
      </c>
    </row>
    <row r="10" spans="1:16" x14ac:dyDescent="0.3">
      <c r="A10" t="s">
        <v>333</v>
      </c>
      <c r="B10" t="s">
        <v>334</v>
      </c>
      <c r="C10" t="s">
        <v>335</v>
      </c>
      <c r="D10" t="s">
        <v>336</v>
      </c>
      <c r="E10" s="152">
        <v>32428</v>
      </c>
      <c r="F10" t="s">
        <v>282</v>
      </c>
      <c r="G10" t="s">
        <v>337</v>
      </c>
      <c r="H10" t="s">
        <v>338</v>
      </c>
      <c r="I10" t="s">
        <v>339</v>
      </c>
      <c r="J10" t="s">
        <v>286</v>
      </c>
      <c r="K10" t="s">
        <v>340</v>
      </c>
      <c r="L10" s="152">
        <v>45810</v>
      </c>
      <c r="M10" t="s">
        <v>341</v>
      </c>
    </row>
    <row r="11" spans="1:16" x14ac:dyDescent="0.3">
      <c r="A11" t="s">
        <v>137</v>
      </c>
      <c r="B11" t="s">
        <v>342</v>
      </c>
      <c r="C11" t="s">
        <v>343</v>
      </c>
      <c r="D11" t="s">
        <v>344</v>
      </c>
      <c r="E11" s="152">
        <v>30615</v>
      </c>
      <c r="F11" t="s">
        <v>282</v>
      </c>
      <c r="G11" t="s">
        <v>283</v>
      </c>
      <c r="H11" t="s">
        <v>345</v>
      </c>
      <c r="I11" t="s">
        <v>346</v>
      </c>
      <c r="J11" t="s">
        <v>286</v>
      </c>
      <c r="K11" t="s">
        <v>347</v>
      </c>
      <c r="L11" s="152">
        <v>45809</v>
      </c>
      <c r="M11" t="s">
        <v>152</v>
      </c>
      <c r="N11" t="s">
        <v>348</v>
      </c>
      <c r="P11" s="155"/>
    </row>
    <row r="12" spans="1:16" x14ac:dyDescent="0.3">
      <c r="A12" t="s">
        <v>349</v>
      </c>
      <c r="B12" t="s">
        <v>350</v>
      </c>
      <c r="C12" t="s">
        <v>351</v>
      </c>
      <c r="D12" t="s">
        <v>352</v>
      </c>
      <c r="E12" s="152">
        <v>31598</v>
      </c>
      <c r="F12" t="s">
        <v>282</v>
      </c>
      <c r="G12" t="s">
        <v>283</v>
      </c>
      <c r="H12" s="6">
        <v>956073428</v>
      </c>
      <c r="I12" t="s">
        <v>353</v>
      </c>
      <c r="K12" t="s">
        <v>354</v>
      </c>
      <c r="L12" s="152">
        <v>45915</v>
      </c>
      <c r="M12" t="s">
        <v>177</v>
      </c>
    </row>
    <row r="13" spans="1:16" x14ac:dyDescent="0.3">
      <c r="A13" t="s">
        <v>355</v>
      </c>
      <c r="B13" t="s">
        <v>356</v>
      </c>
      <c r="C13" t="s">
        <v>357</v>
      </c>
      <c r="D13" t="s">
        <v>358</v>
      </c>
      <c r="E13" s="152">
        <v>27377</v>
      </c>
      <c r="F13" t="s">
        <v>282</v>
      </c>
      <c r="G13" t="s">
        <v>283</v>
      </c>
      <c r="H13" s="6">
        <v>939377919</v>
      </c>
      <c r="I13" t="s">
        <v>359</v>
      </c>
      <c r="J13" t="s">
        <v>286</v>
      </c>
      <c r="K13" t="s">
        <v>360</v>
      </c>
      <c r="L13" s="152">
        <v>45902</v>
      </c>
      <c r="M13" t="s">
        <v>177</v>
      </c>
    </row>
    <row r="14" spans="1:16" x14ac:dyDescent="0.3">
      <c r="A14" t="s">
        <v>138</v>
      </c>
      <c r="B14" t="s">
        <v>361</v>
      </c>
      <c r="C14" t="s">
        <v>362</v>
      </c>
      <c r="D14" t="s">
        <v>363</v>
      </c>
      <c r="E14" s="152">
        <v>24300</v>
      </c>
      <c r="F14" t="s">
        <v>282</v>
      </c>
      <c r="G14" t="s">
        <v>283</v>
      </c>
      <c r="H14" t="s">
        <v>364</v>
      </c>
      <c r="I14" t="s">
        <v>365</v>
      </c>
      <c r="J14" t="s">
        <v>286</v>
      </c>
      <c r="K14" t="s">
        <v>366</v>
      </c>
      <c r="L14" s="152">
        <v>45809</v>
      </c>
      <c r="M14" t="s">
        <v>152</v>
      </c>
      <c r="N14" t="s">
        <v>367</v>
      </c>
    </row>
    <row r="15" spans="1:16" x14ac:dyDescent="0.3">
      <c r="A15" t="s">
        <v>197</v>
      </c>
      <c r="B15" t="s">
        <v>368</v>
      </c>
      <c r="C15" t="s">
        <v>369</v>
      </c>
      <c r="D15" t="s">
        <v>370</v>
      </c>
      <c r="E15" s="152">
        <v>26955</v>
      </c>
      <c r="F15" t="s">
        <v>282</v>
      </c>
      <c r="G15" t="s">
        <v>283</v>
      </c>
      <c r="H15" t="s">
        <v>371</v>
      </c>
      <c r="I15" t="s">
        <v>372</v>
      </c>
      <c r="J15" t="s">
        <v>286</v>
      </c>
      <c r="K15" t="s">
        <v>373</v>
      </c>
      <c r="L15" s="152">
        <v>45809</v>
      </c>
      <c r="M15" t="s">
        <v>191</v>
      </c>
      <c r="N15" t="s">
        <v>374</v>
      </c>
    </row>
    <row r="16" spans="1:16" x14ac:dyDescent="0.3">
      <c r="A16" t="s">
        <v>375</v>
      </c>
      <c r="B16" t="s">
        <v>335</v>
      </c>
      <c r="C16" t="s">
        <v>376</v>
      </c>
      <c r="D16" t="s">
        <v>377</v>
      </c>
      <c r="E16" s="152">
        <v>26093</v>
      </c>
      <c r="F16" t="s">
        <v>282</v>
      </c>
      <c r="G16" t="s">
        <v>283</v>
      </c>
      <c r="H16" t="s">
        <v>378</v>
      </c>
      <c r="I16" t="s">
        <v>379</v>
      </c>
      <c r="J16" t="s">
        <v>286</v>
      </c>
      <c r="K16" t="s">
        <v>380</v>
      </c>
      <c r="L16" s="152">
        <v>45826</v>
      </c>
      <c r="M16" t="s">
        <v>341</v>
      </c>
    </row>
    <row r="17" spans="1:14" x14ac:dyDescent="0.3">
      <c r="A17" t="s">
        <v>381</v>
      </c>
      <c r="B17" t="s">
        <v>304</v>
      </c>
      <c r="C17" t="s">
        <v>382</v>
      </c>
      <c r="D17" t="s">
        <v>383</v>
      </c>
      <c r="E17" s="152">
        <v>32805</v>
      </c>
      <c r="F17" t="s">
        <v>282</v>
      </c>
      <c r="G17" t="s">
        <v>283</v>
      </c>
      <c r="H17" t="s">
        <v>384</v>
      </c>
      <c r="I17" t="s">
        <v>385</v>
      </c>
      <c r="J17" t="s">
        <v>286</v>
      </c>
      <c r="K17" t="s">
        <v>386</v>
      </c>
      <c r="L17" s="152">
        <v>45866</v>
      </c>
      <c r="M17" t="s">
        <v>177</v>
      </c>
    </row>
    <row r="18" spans="1:14" x14ac:dyDescent="0.3">
      <c r="A18" t="s">
        <v>387</v>
      </c>
      <c r="B18" t="s">
        <v>376</v>
      </c>
      <c r="C18" t="s">
        <v>388</v>
      </c>
      <c r="D18" t="s">
        <v>389</v>
      </c>
      <c r="E18" s="152">
        <v>23846</v>
      </c>
      <c r="F18" t="s">
        <v>282</v>
      </c>
      <c r="G18" t="s">
        <v>283</v>
      </c>
      <c r="H18" t="s">
        <v>390</v>
      </c>
      <c r="I18" t="s">
        <v>391</v>
      </c>
      <c r="J18" t="s">
        <v>286</v>
      </c>
      <c r="K18" t="s">
        <v>392</v>
      </c>
      <c r="L18" s="152">
        <v>45813</v>
      </c>
      <c r="M18" t="s">
        <v>288</v>
      </c>
    </row>
    <row r="19" spans="1:14" x14ac:dyDescent="0.3">
      <c r="A19" t="s">
        <v>139</v>
      </c>
      <c r="B19" t="s">
        <v>376</v>
      </c>
      <c r="C19" t="s">
        <v>393</v>
      </c>
      <c r="D19" t="s">
        <v>394</v>
      </c>
      <c r="E19" s="152">
        <v>34852</v>
      </c>
      <c r="F19" t="s">
        <v>282</v>
      </c>
      <c r="G19" t="s">
        <v>283</v>
      </c>
      <c r="H19" t="s">
        <v>395</v>
      </c>
      <c r="I19" t="s">
        <v>396</v>
      </c>
      <c r="J19" t="s">
        <v>286</v>
      </c>
      <c r="K19" t="s">
        <v>397</v>
      </c>
      <c r="L19" s="152">
        <v>45809</v>
      </c>
      <c r="M19" t="s">
        <v>151</v>
      </c>
      <c r="N19" t="s">
        <v>398</v>
      </c>
    </row>
    <row r="20" spans="1:14" x14ac:dyDescent="0.3">
      <c r="A20" t="s">
        <v>399</v>
      </c>
      <c r="B20" t="s">
        <v>297</v>
      </c>
      <c r="C20" t="s">
        <v>400</v>
      </c>
      <c r="D20" t="s">
        <v>401</v>
      </c>
      <c r="E20" s="152">
        <v>36029</v>
      </c>
      <c r="F20" t="s">
        <v>282</v>
      </c>
      <c r="G20" t="s">
        <v>283</v>
      </c>
      <c r="H20" t="s">
        <v>402</v>
      </c>
      <c r="I20" t="s">
        <v>403</v>
      </c>
      <c r="J20" t="s">
        <v>286</v>
      </c>
      <c r="K20" t="s">
        <v>404</v>
      </c>
      <c r="L20" s="152">
        <v>45813</v>
      </c>
      <c r="M20" t="s">
        <v>288</v>
      </c>
    </row>
    <row r="21" spans="1:14" x14ac:dyDescent="0.3">
      <c r="A21" t="s">
        <v>405</v>
      </c>
      <c r="B21" t="s">
        <v>406</v>
      </c>
      <c r="C21" t="s">
        <v>407</v>
      </c>
      <c r="D21" t="s">
        <v>408</v>
      </c>
      <c r="E21" s="3" t="s">
        <v>409</v>
      </c>
      <c r="F21" t="s">
        <v>282</v>
      </c>
      <c r="G21" t="s">
        <v>283</v>
      </c>
      <c r="H21" s="6">
        <v>973298095</v>
      </c>
      <c r="I21" t="s">
        <v>410</v>
      </c>
      <c r="J21" t="s">
        <v>286</v>
      </c>
      <c r="K21" t="s">
        <v>411</v>
      </c>
      <c r="L21" s="3">
        <v>45922</v>
      </c>
      <c r="M21" t="s">
        <v>177</v>
      </c>
    </row>
    <row r="22" spans="1:14" x14ac:dyDescent="0.3">
      <c r="A22" t="s">
        <v>412</v>
      </c>
      <c r="B22" t="s">
        <v>413</v>
      </c>
      <c r="C22" t="s">
        <v>413</v>
      </c>
      <c r="D22" t="s">
        <v>414</v>
      </c>
      <c r="E22" s="152">
        <v>35130</v>
      </c>
      <c r="F22" t="s">
        <v>282</v>
      </c>
      <c r="G22" t="s">
        <v>283</v>
      </c>
      <c r="H22" t="s">
        <v>415</v>
      </c>
      <c r="I22" t="s">
        <v>416</v>
      </c>
      <c r="J22" t="s">
        <v>286</v>
      </c>
      <c r="K22" t="s">
        <v>417</v>
      </c>
      <c r="L22" s="152">
        <v>45810</v>
      </c>
      <c r="M22" t="s">
        <v>341</v>
      </c>
    </row>
    <row r="23" spans="1:14" x14ac:dyDescent="0.3">
      <c r="A23" t="s">
        <v>418</v>
      </c>
      <c r="B23" t="s">
        <v>419</v>
      </c>
      <c r="C23" t="s">
        <v>420</v>
      </c>
      <c r="D23" t="s">
        <v>421</v>
      </c>
      <c r="E23" s="152">
        <v>31685</v>
      </c>
      <c r="F23" t="s">
        <v>282</v>
      </c>
      <c r="G23" t="s">
        <v>283</v>
      </c>
      <c r="H23" t="s">
        <v>422</v>
      </c>
      <c r="I23" t="s">
        <v>423</v>
      </c>
      <c r="J23" t="s">
        <v>286</v>
      </c>
      <c r="K23" t="s">
        <v>424</v>
      </c>
      <c r="L23" s="152">
        <v>45809</v>
      </c>
      <c r="M23" t="s">
        <v>288</v>
      </c>
    </row>
    <row r="24" spans="1:14" x14ac:dyDescent="0.3">
      <c r="A24" t="s">
        <v>425</v>
      </c>
      <c r="B24" t="s">
        <v>426</v>
      </c>
      <c r="C24" t="s">
        <v>427</v>
      </c>
      <c r="D24" t="s">
        <v>428</v>
      </c>
      <c r="E24" s="152">
        <v>29642</v>
      </c>
      <c r="F24" t="s">
        <v>282</v>
      </c>
      <c r="G24" t="s">
        <v>283</v>
      </c>
      <c r="H24" t="s">
        <v>429</v>
      </c>
      <c r="I24" t="s">
        <v>430</v>
      </c>
      <c r="J24" t="s">
        <v>286</v>
      </c>
      <c r="K24" t="s">
        <v>431</v>
      </c>
      <c r="L24" s="152">
        <v>45813</v>
      </c>
      <c r="M24" t="s">
        <v>341</v>
      </c>
    </row>
    <row r="25" spans="1:14" x14ac:dyDescent="0.3">
      <c r="A25" t="s">
        <v>140</v>
      </c>
      <c r="B25" t="s">
        <v>432</v>
      </c>
      <c r="C25" t="s">
        <v>433</v>
      </c>
      <c r="D25" t="s">
        <v>434</v>
      </c>
      <c r="E25" s="152">
        <v>30091</v>
      </c>
      <c r="F25" t="s">
        <v>282</v>
      </c>
      <c r="G25" t="s">
        <v>283</v>
      </c>
      <c r="H25" t="s">
        <v>435</v>
      </c>
      <c r="I25" t="s">
        <v>436</v>
      </c>
      <c r="J25" t="s">
        <v>286</v>
      </c>
      <c r="K25" t="s">
        <v>437</v>
      </c>
      <c r="L25" s="152">
        <v>45813</v>
      </c>
      <c r="M25" t="s">
        <v>151</v>
      </c>
      <c r="N25" t="s">
        <v>438</v>
      </c>
    </row>
    <row r="26" spans="1:14" x14ac:dyDescent="0.3">
      <c r="A26" t="s">
        <v>439</v>
      </c>
      <c r="B26" t="s">
        <v>440</v>
      </c>
      <c r="C26" t="s">
        <v>441</v>
      </c>
      <c r="D26" t="s">
        <v>442</v>
      </c>
      <c r="E26" s="152">
        <v>34294</v>
      </c>
      <c r="F26" t="s">
        <v>282</v>
      </c>
      <c r="G26" t="s">
        <v>283</v>
      </c>
      <c r="H26" t="s">
        <v>443</v>
      </c>
      <c r="I26" t="s">
        <v>444</v>
      </c>
      <c r="J26" t="s">
        <v>286</v>
      </c>
      <c r="K26" t="s">
        <v>445</v>
      </c>
      <c r="L26" s="152">
        <v>45875</v>
      </c>
      <c r="M26" t="s">
        <v>177</v>
      </c>
    </row>
    <row r="27" spans="1:14" x14ac:dyDescent="0.3">
      <c r="A27" s="156" t="s">
        <v>446</v>
      </c>
      <c r="B27" t="s">
        <v>447</v>
      </c>
      <c r="C27" t="s">
        <v>448</v>
      </c>
      <c r="D27" t="s">
        <v>449</v>
      </c>
      <c r="E27" s="152">
        <v>33757</v>
      </c>
      <c r="F27" t="s">
        <v>282</v>
      </c>
      <c r="G27" t="s">
        <v>283</v>
      </c>
      <c r="H27" s="6">
        <v>961188334</v>
      </c>
      <c r="I27" t="s">
        <v>450</v>
      </c>
      <c r="J27" t="s">
        <v>286</v>
      </c>
      <c r="K27" t="s">
        <v>451</v>
      </c>
      <c r="L27" s="152">
        <v>45915</v>
      </c>
      <c r="M27" t="s">
        <v>177</v>
      </c>
      <c r="N27" t="s">
        <v>302</v>
      </c>
    </row>
    <row r="28" spans="1:14" x14ac:dyDescent="0.3">
      <c r="A28" t="s">
        <v>178</v>
      </c>
      <c r="B28" t="s">
        <v>452</v>
      </c>
      <c r="C28" t="s">
        <v>453</v>
      </c>
      <c r="D28" t="s">
        <v>454</v>
      </c>
      <c r="E28" s="152">
        <v>27618</v>
      </c>
      <c r="F28" t="s">
        <v>282</v>
      </c>
      <c r="G28" t="s">
        <v>283</v>
      </c>
      <c r="H28" t="s">
        <v>455</v>
      </c>
      <c r="I28" s="154" t="s">
        <v>456</v>
      </c>
      <c r="J28" t="s">
        <v>286</v>
      </c>
      <c r="K28" t="s">
        <v>457</v>
      </c>
      <c r="L28" s="152">
        <v>45870</v>
      </c>
      <c r="M28" t="s">
        <v>177</v>
      </c>
      <c r="N28" t="s">
        <v>302</v>
      </c>
    </row>
    <row r="29" spans="1:14" x14ac:dyDescent="0.3">
      <c r="A29" t="s">
        <v>179</v>
      </c>
      <c r="B29" t="s">
        <v>458</v>
      </c>
      <c r="D29" t="s">
        <v>459</v>
      </c>
      <c r="E29" s="152">
        <v>30079</v>
      </c>
      <c r="F29" t="s">
        <v>460</v>
      </c>
      <c r="G29" t="s">
        <v>283</v>
      </c>
      <c r="H29" t="s">
        <v>461</v>
      </c>
      <c r="I29" s="154" t="s">
        <v>462</v>
      </c>
      <c r="J29" t="s">
        <v>286</v>
      </c>
      <c r="K29" t="s">
        <v>463</v>
      </c>
      <c r="L29" s="152">
        <v>45809</v>
      </c>
      <c r="M29" t="s">
        <v>177</v>
      </c>
      <c r="N29" t="s">
        <v>302</v>
      </c>
    </row>
    <row r="30" spans="1:14" x14ac:dyDescent="0.3">
      <c r="A30" t="s">
        <v>464</v>
      </c>
      <c r="B30" t="s">
        <v>465</v>
      </c>
      <c r="D30" t="s">
        <v>466</v>
      </c>
      <c r="E30" s="152">
        <v>31064</v>
      </c>
      <c r="F30" t="s">
        <v>467</v>
      </c>
      <c r="G30" t="s">
        <v>283</v>
      </c>
      <c r="H30" t="s">
        <v>468</v>
      </c>
      <c r="I30" t="s">
        <v>469</v>
      </c>
      <c r="J30" t="s">
        <v>286</v>
      </c>
      <c r="K30" t="s">
        <v>470</v>
      </c>
      <c r="L30" s="152">
        <v>45810</v>
      </c>
      <c r="M30" t="s">
        <v>288</v>
      </c>
    </row>
    <row r="31" spans="1:14" x14ac:dyDescent="0.3">
      <c r="A31" t="s">
        <v>198</v>
      </c>
      <c r="B31" t="s">
        <v>471</v>
      </c>
      <c r="C31" t="s">
        <v>472</v>
      </c>
      <c r="D31" t="s">
        <v>473</v>
      </c>
      <c r="E31" s="152">
        <v>31058</v>
      </c>
      <c r="F31" t="s">
        <v>282</v>
      </c>
      <c r="G31" t="s">
        <v>283</v>
      </c>
      <c r="H31" s="6">
        <v>945739288</v>
      </c>
      <c r="I31" t="s">
        <v>474</v>
      </c>
      <c r="J31" t="s">
        <v>286</v>
      </c>
      <c r="K31" t="s">
        <v>475</v>
      </c>
      <c r="L31" s="152">
        <v>45915</v>
      </c>
      <c r="M31" t="s">
        <v>202</v>
      </c>
      <c r="N31" t="s">
        <v>294</v>
      </c>
    </row>
    <row r="32" spans="1:14" x14ac:dyDescent="0.3">
      <c r="A32" t="s">
        <v>141</v>
      </c>
      <c r="B32" t="s">
        <v>476</v>
      </c>
      <c r="C32" t="s">
        <v>477</v>
      </c>
      <c r="D32" t="s">
        <v>478</v>
      </c>
      <c r="E32" s="152">
        <v>24032</v>
      </c>
      <c r="F32" t="s">
        <v>282</v>
      </c>
      <c r="G32" t="s">
        <v>283</v>
      </c>
      <c r="H32" t="s">
        <v>479</v>
      </c>
      <c r="I32" t="s">
        <v>480</v>
      </c>
      <c r="J32" t="s">
        <v>286</v>
      </c>
      <c r="K32" t="s">
        <v>481</v>
      </c>
      <c r="L32" s="152">
        <v>45810</v>
      </c>
      <c r="M32" t="s">
        <v>154</v>
      </c>
      <c r="N32" t="s">
        <v>482</v>
      </c>
    </row>
    <row r="33" spans="1:14" x14ac:dyDescent="0.3">
      <c r="A33" t="s">
        <v>483</v>
      </c>
      <c r="B33" t="s">
        <v>484</v>
      </c>
      <c r="C33" t="s">
        <v>485</v>
      </c>
      <c r="D33" t="s">
        <v>486</v>
      </c>
      <c r="E33" s="152">
        <v>35124</v>
      </c>
      <c r="F33" t="s">
        <v>282</v>
      </c>
      <c r="G33" t="s">
        <v>283</v>
      </c>
      <c r="H33" t="s">
        <v>487</v>
      </c>
      <c r="I33" t="s">
        <v>488</v>
      </c>
      <c r="J33" t="s">
        <v>286</v>
      </c>
      <c r="K33" t="s">
        <v>489</v>
      </c>
      <c r="L33" s="152">
        <v>45810</v>
      </c>
      <c r="M33" t="s">
        <v>341</v>
      </c>
    </row>
    <row r="34" spans="1:14" x14ac:dyDescent="0.3">
      <c r="A34" t="s">
        <v>490</v>
      </c>
      <c r="B34" t="s">
        <v>393</v>
      </c>
      <c r="C34" t="s">
        <v>413</v>
      </c>
      <c r="D34" t="s">
        <v>491</v>
      </c>
      <c r="E34" s="152">
        <v>32811</v>
      </c>
      <c r="F34" t="s">
        <v>282</v>
      </c>
      <c r="G34" t="s">
        <v>283</v>
      </c>
      <c r="H34" s="6">
        <v>972838441</v>
      </c>
      <c r="I34" t="s">
        <v>492</v>
      </c>
      <c r="J34" t="s">
        <v>286</v>
      </c>
      <c r="K34" t="s">
        <v>493</v>
      </c>
      <c r="L34" s="152">
        <v>45915</v>
      </c>
      <c r="M34" t="s">
        <v>177</v>
      </c>
    </row>
    <row r="35" spans="1:14" x14ac:dyDescent="0.3">
      <c r="A35" t="s">
        <v>142</v>
      </c>
      <c r="B35" t="s">
        <v>494</v>
      </c>
      <c r="C35" t="s">
        <v>495</v>
      </c>
      <c r="D35" t="s">
        <v>496</v>
      </c>
      <c r="E35" s="152">
        <v>24942</v>
      </c>
      <c r="F35" t="s">
        <v>282</v>
      </c>
      <c r="G35" t="s">
        <v>283</v>
      </c>
      <c r="H35" t="s">
        <v>497</v>
      </c>
      <c r="I35" t="s">
        <v>498</v>
      </c>
      <c r="J35" t="s">
        <v>286</v>
      </c>
      <c r="K35" t="s">
        <v>499</v>
      </c>
      <c r="L35" s="152">
        <v>45809</v>
      </c>
      <c r="M35" t="s">
        <v>152</v>
      </c>
      <c r="N35" t="s">
        <v>367</v>
      </c>
    </row>
    <row r="36" spans="1:14" x14ac:dyDescent="0.3">
      <c r="A36" t="s">
        <v>500</v>
      </c>
      <c r="B36" t="s">
        <v>501</v>
      </c>
      <c r="C36" t="s">
        <v>400</v>
      </c>
      <c r="D36" t="s">
        <v>502</v>
      </c>
      <c r="E36" s="152">
        <v>36606</v>
      </c>
      <c r="F36" t="s">
        <v>282</v>
      </c>
      <c r="G36" t="s">
        <v>283</v>
      </c>
      <c r="H36" t="s">
        <v>503</v>
      </c>
      <c r="I36" t="s">
        <v>504</v>
      </c>
      <c r="J36" t="s">
        <v>286</v>
      </c>
      <c r="K36" t="s">
        <v>505</v>
      </c>
      <c r="L36" s="152">
        <v>45812</v>
      </c>
      <c r="M36" t="s">
        <v>288</v>
      </c>
    </row>
    <row r="37" spans="1:14" x14ac:dyDescent="0.3">
      <c r="A37" t="s">
        <v>506</v>
      </c>
      <c r="B37" t="s">
        <v>507</v>
      </c>
      <c r="C37" t="s">
        <v>508</v>
      </c>
      <c r="D37" t="s">
        <v>509</v>
      </c>
      <c r="E37" s="152">
        <v>33433</v>
      </c>
      <c r="F37" t="s">
        <v>282</v>
      </c>
      <c r="G37" t="s">
        <v>283</v>
      </c>
      <c r="H37" t="s">
        <v>510</v>
      </c>
      <c r="I37" t="s">
        <v>511</v>
      </c>
      <c r="J37" t="s">
        <v>286</v>
      </c>
      <c r="K37" t="s">
        <v>512</v>
      </c>
      <c r="L37" s="152">
        <v>45866</v>
      </c>
      <c r="M37" t="s">
        <v>177</v>
      </c>
    </row>
    <row r="38" spans="1:14" x14ac:dyDescent="0.3">
      <c r="A38" t="s">
        <v>513</v>
      </c>
      <c r="B38" t="s">
        <v>514</v>
      </c>
      <c r="C38" t="s">
        <v>515</v>
      </c>
      <c r="D38" t="s">
        <v>516</v>
      </c>
      <c r="E38" s="152">
        <v>37321</v>
      </c>
      <c r="F38" t="s">
        <v>282</v>
      </c>
      <c r="G38" t="s">
        <v>337</v>
      </c>
      <c r="H38" t="s">
        <v>517</v>
      </c>
      <c r="I38" t="s">
        <v>518</v>
      </c>
      <c r="J38" t="s">
        <v>286</v>
      </c>
      <c r="K38" t="s">
        <v>519</v>
      </c>
      <c r="L38" s="152">
        <v>45810</v>
      </c>
      <c r="M38" t="s">
        <v>520</v>
      </c>
    </row>
    <row r="39" spans="1:14" x14ac:dyDescent="0.3">
      <c r="A39" t="s">
        <v>521</v>
      </c>
      <c r="B39" t="s">
        <v>514</v>
      </c>
      <c r="C39" t="s">
        <v>522</v>
      </c>
      <c r="D39" t="s">
        <v>523</v>
      </c>
      <c r="E39" s="152">
        <v>35544</v>
      </c>
      <c r="F39" t="s">
        <v>282</v>
      </c>
      <c r="G39" t="s">
        <v>283</v>
      </c>
      <c r="H39" t="s">
        <v>524</v>
      </c>
      <c r="I39" t="s">
        <v>525</v>
      </c>
      <c r="J39" t="s">
        <v>526</v>
      </c>
      <c r="K39" t="s">
        <v>527</v>
      </c>
      <c r="L39" s="152">
        <v>45809</v>
      </c>
      <c r="M39" t="s">
        <v>288</v>
      </c>
    </row>
    <row r="40" spans="1:14" x14ac:dyDescent="0.3">
      <c r="A40" t="s">
        <v>208</v>
      </c>
      <c r="B40" t="s">
        <v>528</v>
      </c>
      <c r="C40" t="s">
        <v>529</v>
      </c>
      <c r="D40" t="s">
        <v>530</v>
      </c>
      <c r="E40" s="152">
        <v>35905</v>
      </c>
      <c r="F40" t="s">
        <v>282</v>
      </c>
      <c r="G40" t="s">
        <v>283</v>
      </c>
      <c r="H40" t="s">
        <v>531</v>
      </c>
      <c r="I40" t="s">
        <v>532</v>
      </c>
      <c r="J40" t="s">
        <v>286</v>
      </c>
      <c r="K40" t="s">
        <v>533</v>
      </c>
      <c r="L40" s="152">
        <v>45810</v>
      </c>
      <c r="M40" t="s">
        <v>177</v>
      </c>
      <c r="N40" t="s">
        <v>302</v>
      </c>
    </row>
    <row r="41" spans="1:14" x14ac:dyDescent="0.3">
      <c r="A41" t="s">
        <v>180</v>
      </c>
      <c r="B41" t="s">
        <v>534</v>
      </c>
      <c r="C41" t="s">
        <v>304</v>
      </c>
      <c r="D41" t="s">
        <v>535</v>
      </c>
      <c r="E41" s="152">
        <v>34683</v>
      </c>
      <c r="F41" t="s">
        <v>282</v>
      </c>
      <c r="G41" t="s">
        <v>283</v>
      </c>
      <c r="H41" t="s">
        <v>536</v>
      </c>
      <c r="I41" t="s">
        <v>537</v>
      </c>
      <c r="J41" t="s">
        <v>286</v>
      </c>
      <c r="K41" t="s">
        <v>538</v>
      </c>
      <c r="L41" s="152">
        <v>45810</v>
      </c>
      <c r="M41" t="s">
        <v>177</v>
      </c>
      <c r="N41" t="s">
        <v>302</v>
      </c>
    </row>
    <row r="42" spans="1:14" x14ac:dyDescent="0.3">
      <c r="A42" t="s">
        <v>539</v>
      </c>
      <c r="B42" t="s">
        <v>540</v>
      </c>
      <c r="C42" t="s">
        <v>541</v>
      </c>
      <c r="D42" t="s">
        <v>542</v>
      </c>
      <c r="E42" s="152">
        <v>31674</v>
      </c>
      <c r="F42" t="s">
        <v>282</v>
      </c>
      <c r="G42" t="s">
        <v>337</v>
      </c>
      <c r="H42" s="6">
        <v>989305278</v>
      </c>
      <c r="I42" t="s">
        <v>543</v>
      </c>
      <c r="J42" t="s">
        <v>286</v>
      </c>
      <c r="K42" t="s">
        <v>544</v>
      </c>
      <c r="L42" s="152">
        <v>45915</v>
      </c>
      <c r="M42" t="s">
        <v>177</v>
      </c>
    </row>
    <row r="43" spans="1:14" x14ac:dyDescent="0.3">
      <c r="A43" t="s">
        <v>545</v>
      </c>
      <c r="B43" t="s">
        <v>546</v>
      </c>
      <c r="C43" t="s">
        <v>547</v>
      </c>
      <c r="D43" t="s">
        <v>548</v>
      </c>
      <c r="E43" s="152">
        <v>35431</v>
      </c>
      <c r="F43" t="s">
        <v>282</v>
      </c>
      <c r="G43" t="s">
        <v>337</v>
      </c>
      <c r="H43" s="6">
        <v>951228821</v>
      </c>
      <c r="I43" t="s">
        <v>549</v>
      </c>
      <c r="J43" t="s">
        <v>286</v>
      </c>
      <c r="K43" t="s">
        <v>550</v>
      </c>
      <c r="L43" s="152">
        <v>45915</v>
      </c>
      <c r="M43" t="s">
        <v>177</v>
      </c>
    </row>
    <row r="44" spans="1:14" x14ac:dyDescent="0.3">
      <c r="A44" t="s">
        <v>199</v>
      </c>
      <c r="B44" t="s">
        <v>551</v>
      </c>
      <c r="C44" t="s">
        <v>552</v>
      </c>
      <c r="D44" t="s">
        <v>553</v>
      </c>
      <c r="E44" s="152">
        <v>32418</v>
      </c>
      <c r="F44" t="s">
        <v>282</v>
      </c>
      <c r="G44" t="s">
        <v>283</v>
      </c>
      <c r="H44" t="s">
        <v>554</v>
      </c>
      <c r="I44" t="s">
        <v>555</v>
      </c>
      <c r="J44" t="s">
        <v>286</v>
      </c>
      <c r="K44" t="s">
        <v>556</v>
      </c>
      <c r="L44" s="152">
        <v>45809</v>
      </c>
      <c r="M44" t="s">
        <v>191</v>
      </c>
      <c r="N44" t="s">
        <v>302</v>
      </c>
    </row>
    <row r="45" spans="1:14" x14ac:dyDescent="0.3">
      <c r="A45" t="s">
        <v>200</v>
      </c>
      <c r="B45" t="s">
        <v>557</v>
      </c>
      <c r="C45" t="s">
        <v>558</v>
      </c>
      <c r="D45" t="s">
        <v>559</v>
      </c>
      <c r="E45" s="152">
        <v>32251</v>
      </c>
      <c r="F45" t="s">
        <v>282</v>
      </c>
      <c r="G45" t="s">
        <v>283</v>
      </c>
      <c r="H45" t="s">
        <v>560</v>
      </c>
      <c r="I45" t="s">
        <v>561</v>
      </c>
      <c r="J45" t="s">
        <v>562</v>
      </c>
      <c r="K45" t="s">
        <v>563</v>
      </c>
      <c r="L45" s="152">
        <v>45805</v>
      </c>
      <c r="M45" t="s">
        <v>202</v>
      </c>
      <c r="N45" t="s">
        <v>332</v>
      </c>
    </row>
    <row r="46" spans="1:14" x14ac:dyDescent="0.3">
      <c r="A46" t="s">
        <v>564</v>
      </c>
      <c r="B46" t="s">
        <v>565</v>
      </c>
      <c r="C46" t="s">
        <v>566</v>
      </c>
      <c r="D46" t="s">
        <v>567</v>
      </c>
      <c r="E46" s="152">
        <v>33899</v>
      </c>
      <c r="F46" t="s">
        <v>282</v>
      </c>
      <c r="G46" t="s">
        <v>337</v>
      </c>
      <c r="H46" t="s">
        <v>568</v>
      </c>
      <c r="I46" t="s">
        <v>569</v>
      </c>
      <c r="J46" t="s">
        <v>286</v>
      </c>
      <c r="K46" t="s">
        <v>570</v>
      </c>
      <c r="L46" s="152">
        <v>45784</v>
      </c>
      <c r="M46" t="s">
        <v>571</v>
      </c>
      <c r="N46" t="s">
        <v>294</v>
      </c>
    </row>
    <row r="47" spans="1:14" x14ac:dyDescent="0.3">
      <c r="A47" t="s">
        <v>572</v>
      </c>
      <c r="B47" t="s">
        <v>573</v>
      </c>
      <c r="C47" t="s">
        <v>574</v>
      </c>
      <c r="D47" t="s">
        <v>575</v>
      </c>
      <c r="E47" s="152">
        <v>35823</v>
      </c>
      <c r="F47" t="s">
        <v>282</v>
      </c>
      <c r="G47" t="s">
        <v>337</v>
      </c>
      <c r="H47" t="s">
        <v>576</v>
      </c>
      <c r="I47" t="s">
        <v>577</v>
      </c>
      <c r="J47" t="s">
        <v>286</v>
      </c>
      <c r="K47" t="s">
        <v>578</v>
      </c>
      <c r="L47" s="152">
        <v>45875</v>
      </c>
      <c r="M47" t="s">
        <v>177</v>
      </c>
    </row>
    <row r="48" spans="1:14" x14ac:dyDescent="0.3">
      <c r="A48" t="s">
        <v>143</v>
      </c>
      <c r="B48" t="s">
        <v>579</v>
      </c>
      <c r="C48" t="s">
        <v>579</v>
      </c>
      <c r="D48" t="s">
        <v>580</v>
      </c>
      <c r="E48" s="152">
        <v>28312</v>
      </c>
      <c r="F48" t="s">
        <v>282</v>
      </c>
      <c r="G48" t="s">
        <v>283</v>
      </c>
      <c r="H48" t="s">
        <v>581</v>
      </c>
      <c r="I48" t="s">
        <v>582</v>
      </c>
      <c r="J48" t="s">
        <v>286</v>
      </c>
      <c r="K48" t="s">
        <v>583</v>
      </c>
      <c r="L48" s="152">
        <v>45810</v>
      </c>
      <c r="M48" t="s">
        <v>153</v>
      </c>
      <c r="N48" t="s">
        <v>584</v>
      </c>
    </row>
    <row r="49" spans="1:14" x14ac:dyDescent="0.3">
      <c r="A49" t="s">
        <v>585</v>
      </c>
      <c r="B49" t="s">
        <v>586</v>
      </c>
      <c r="C49" t="s">
        <v>587</v>
      </c>
      <c r="D49" t="s">
        <v>588</v>
      </c>
      <c r="E49" s="152">
        <v>33408</v>
      </c>
      <c r="F49" t="s">
        <v>282</v>
      </c>
      <c r="G49" t="s">
        <v>283</v>
      </c>
      <c r="H49" t="s">
        <v>589</v>
      </c>
      <c r="I49" t="s">
        <v>590</v>
      </c>
      <c r="J49" t="s">
        <v>286</v>
      </c>
      <c r="K49" t="s">
        <v>591</v>
      </c>
      <c r="L49" s="152">
        <v>45809</v>
      </c>
      <c r="M49" t="s">
        <v>341</v>
      </c>
    </row>
    <row r="50" spans="1:14" x14ac:dyDescent="0.3">
      <c r="A50" t="s">
        <v>144</v>
      </c>
      <c r="B50" t="s">
        <v>592</v>
      </c>
      <c r="C50" t="s">
        <v>593</v>
      </c>
      <c r="D50" t="s">
        <v>594</v>
      </c>
      <c r="E50" s="152">
        <v>26450</v>
      </c>
      <c r="F50" t="s">
        <v>282</v>
      </c>
      <c r="G50" t="s">
        <v>283</v>
      </c>
      <c r="H50" t="s">
        <v>595</v>
      </c>
      <c r="I50" t="s">
        <v>596</v>
      </c>
      <c r="J50" t="s">
        <v>286</v>
      </c>
      <c r="K50" t="s">
        <v>597</v>
      </c>
      <c r="L50" s="152">
        <v>45809</v>
      </c>
      <c r="M50" t="s">
        <v>151</v>
      </c>
      <c r="N50" t="s">
        <v>598</v>
      </c>
    </row>
    <row r="51" spans="1:14" x14ac:dyDescent="0.3">
      <c r="A51" t="s">
        <v>145</v>
      </c>
      <c r="B51" t="s">
        <v>599</v>
      </c>
      <c r="C51" t="s">
        <v>494</v>
      </c>
      <c r="D51" t="s">
        <v>600</v>
      </c>
      <c r="E51" s="152">
        <v>37781</v>
      </c>
      <c r="F51" t="s">
        <v>282</v>
      </c>
      <c r="G51" t="s">
        <v>283</v>
      </c>
      <c r="H51" t="s">
        <v>601</v>
      </c>
      <c r="I51" t="s">
        <v>602</v>
      </c>
      <c r="J51" t="s">
        <v>286</v>
      </c>
      <c r="K51" t="s">
        <v>603</v>
      </c>
      <c r="L51" s="152">
        <v>45813</v>
      </c>
      <c r="M51" t="s">
        <v>151</v>
      </c>
      <c r="N51" t="s">
        <v>294</v>
      </c>
    </row>
    <row r="52" spans="1:14" x14ac:dyDescent="0.3">
      <c r="A52" t="s">
        <v>188</v>
      </c>
      <c r="B52" t="s">
        <v>280</v>
      </c>
      <c r="C52" t="s">
        <v>304</v>
      </c>
      <c r="D52" t="s">
        <v>604</v>
      </c>
      <c r="E52" s="152">
        <v>30850</v>
      </c>
      <c r="F52" t="s">
        <v>282</v>
      </c>
      <c r="G52" t="s">
        <v>283</v>
      </c>
      <c r="H52" t="s">
        <v>605</v>
      </c>
      <c r="I52" t="s">
        <v>606</v>
      </c>
      <c r="J52" t="s">
        <v>607</v>
      </c>
      <c r="K52" t="s">
        <v>608</v>
      </c>
      <c r="L52" s="152">
        <v>45809</v>
      </c>
      <c r="M52" t="s">
        <v>177</v>
      </c>
      <c r="N52" t="s">
        <v>302</v>
      </c>
    </row>
    <row r="53" spans="1:14" x14ac:dyDescent="0.3">
      <c r="A53" t="s">
        <v>609</v>
      </c>
      <c r="B53" t="s">
        <v>280</v>
      </c>
      <c r="C53" t="s">
        <v>610</v>
      </c>
      <c r="D53" t="s">
        <v>611</v>
      </c>
      <c r="E53" s="152">
        <v>36314</v>
      </c>
      <c r="F53" t="s">
        <v>612</v>
      </c>
      <c r="G53" t="s">
        <v>283</v>
      </c>
      <c r="H53" t="s">
        <v>613</v>
      </c>
      <c r="I53" t="s">
        <v>614</v>
      </c>
      <c r="J53" t="s">
        <v>286</v>
      </c>
      <c r="K53" t="s">
        <v>615</v>
      </c>
      <c r="L53" s="152">
        <v>45810</v>
      </c>
      <c r="M53" t="s">
        <v>616</v>
      </c>
    </row>
    <row r="54" spans="1:14" x14ac:dyDescent="0.3">
      <c r="A54" t="s">
        <v>201</v>
      </c>
      <c r="B54" t="s">
        <v>280</v>
      </c>
      <c r="C54" t="s">
        <v>617</v>
      </c>
      <c r="D54" t="s">
        <v>618</v>
      </c>
      <c r="E54" s="152">
        <v>28837</v>
      </c>
      <c r="F54" t="s">
        <v>282</v>
      </c>
      <c r="G54" t="s">
        <v>283</v>
      </c>
      <c r="H54" s="6">
        <v>979589478</v>
      </c>
      <c r="I54" t="s">
        <v>619</v>
      </c>
      <c r="J54" t="s">
        <v>286</v>
      </c>
      <c r="K54" t="s">
        <v>620</v>
      </c>
      <c r="L54" s="152">
        <v>45944</v>
      </c>
      <c r="M54" t="s">
        <v>203</v>
      </c>
      <c r="N54" t="s">
        <v>294</v>
      </c>
    </row>
    <row r="55" spans="1:14" x14ac:dyDescent="0.3">
      <c r="A55" t="s">
        <v>181</v>
      </c>
      <c r="B55" t="s">
        <v>621</v>
      </c>
      <c r="C55" t="s">
        <v>476</v>
      </c>
      <c r="D55" t="s">
        <v>622</v>
      </c>
      <c r="E55" s="152">
        <v>34055</v>
      </c>
      <c r="F55" t="s">
        <v>282</v>
      </c>
      <c r="G55" t="s">
        <v>283</v>
      </c>
      <c r="H55" t="s">
        <v>623</v>
      </c>
      <c r="I55" t="s">
        <v>624</v>
      </c>
      <c r="J55" t="s">
        <v>286</v>
      </c>
      <c r="K55" t="s">
        <v>625</v>
      </c>
      <c r="L55" s="152">
        <v>45813</v>
      </c>
      <c r="M55" t="s">
        <v>177</v>
      </c>
      <c r="N55" t="s">
        <v>302</v>
      </c>
    </row>
    <row r="56" spans="1:14" x14ac:dyDescent="0.3">
      <c r="A56" t="s">
        <v>626</v>
      </c>
      <c r="B56" t="s">
        <v>627</v>
      </c>
      <c r="C56" t="s">
        <v>628</v>
      </c>
      <c r="D56" t="s">
        <v>629</v>
      </c>
      <c r="E56" s="152">
        <v>36905</v>
      </c>
      <c r="F56" t="s">
        <v>282</v>
      </c>
      <c r="G56" t="s">
        <v>283</v>
      </c>
      <c r="H56" t="s">
        <v>630</v>
      </c>
      <c r="I56" t="s">
        <v>631</v>
      </c>
      <c r="J56" t="s">
        <v>607</v>
      </c>
      <c r="K56" t="s">
        <v>632</v>
      </c>
      <c r="L56" s="152">
        <v>45813</v>
      </c>
      <c r="M56" t="s">
        <v>288</v>
      </c>
    </row>
    <row r="57" spans="1:14" x14ac:dyDescent="0.3">
      <c r="A57" t="s">
        <v>633</v>
      </c>
      <c r="B57" t="s">
        <v>327</v>
      </c>
      <c r="C57" t="s">
        <v>634</v>
      </c>
      <c r="D57" t="s">
        <v>635</v>
      </c>
      <c r="E57" s="152">
        <v>33001</v>
      </c>
      <c r="F57" t="s">
        <v>282</v>
      </c>
      <c r="G57" t="s">
        <v>283</v>
      </c>
      <c r="H57" t="s">
        <v>636</v>
      </c>
      <c r="I57" t="s">
        <v>637</v>
      </c>
      <c r="J57" t="s">
        <v>286</v>
      </c>
      <c r="K57" t="s">
        <v>638</v>
      </c>
      <c r="L57" s="152">
        <v>45809</v>
      </c>
      <c r="M57" t="s">
        <v>341</v>
      </c>
    </row>
    <row r="58" spans="1:14" x14ac:dyDescent="0.3">
      <c r="A58" t="s">
        <v>146</v>
      </c>
      <c r="B58" t="s">
        <v>639</v>
      </c>
      <c r="C58" t="s">
        <v>640</v>
      </c>
      <c r="D58" t="s">
        <v>641</v>
      </c>
      <c r="E58" s="152">
        <v>35900</v>
      </c>
      <c r="F58" t="s">
        <v>282</v>
      </c>
      <c r="G58" t="s">
        <v>283</v>
      </c>
      <c r="H58" t="s">
        <v>642</v>
      </c>
      <c r="I58" t="s">
        <v>643</v>
      </c>
      <c r="J58" t="s">
        <v>286</v>
      </c>
      <c r="K58" t="s">
        <v>644</v>
      </c>
      <c r="L58" s="152">
        <v>45810</v>
      </c>
      <c r="M58" t="s">
        <v>155</v>
      </c>
      <c r="N58" t="s">
        <v>294</v>
      </c>
    </row>
    <row r="59" spans="1:14" x14ac:dyDescent="0.3">
      <c r="A59" t="s">
        <v>645</v>
      </c>
      <c r="B59" t="s">
        <v>407</v>
      </c>
      <c r="C59" t="s">
        <v>646</v>
      </c>
      <c r="D59" t="s">
        <v>647</v>
      </c>
      <c r="E59" s="152">
        <v>36712</v>
      </c>
      <c r="F59" t="s">
        <v>282</v>
      </c>
      <c r="G59" t="s">
        <v>283</v>
      </c>
      <c r="H59" t="s">
        <v>648</v>
      </c>
      <c r="I59" t="s">
        <v>649</v>
      </c>
      <c r="J59" t="s">
        <v>286</v>
      </c>
      <c r="K59" t="s">
        <v>650</v>
      </c>
      <c r="L59" s="152">
        <v>45810</v>
      </c>
      <c r="M59" t="s">
        <v>341</v>
      </c>
    </row>
    <row r="60" spans="1:14" x14ac:dyDescent="0.3">
      <c r="A60" t="s">
        <v>651</v>
      </c>
      <c r="B60" t="s">
        <v>652</v>
      </c>
      <c r="C60" t="s">
        <v>653</v>
      </c>
      <c r="D60" t="s">
        <v>486</v>
      </c>
      <c r="E60" s="152">
        <v>33752</v>
      </c>
      <c r="F60" t="s">
        <v>282</v>
      </c>
      <c r="G60" t="s">
        <v>283</v>
      </c>
      <c r="H60" t="s">
        <v>654</v>
      </c>
      <c r="I60" t="s">
        <v>655</v>
      </c>
      <c r="J60" t="s">
        <v>607</v>
      </c>
      <c r="K60" t="s">
        <v>656</v>
      </c>
      <c r="L60" s="152">
        <v>45810</v>
      </c>
      <c r="M60" t="s">
        <v>177</v>
      </c>
      <c r="N60" t="s">
        <v>302</v>
      </c>
    </row>
    <row r="61" spans="1:14" x14ac:dyDescent="0.3">
      <c r="A61" t="s">
        <v>147</v>
      </c>
      <c r="B61" t="s">
        <v>453</v>
      </c>
      <c r="C61" t="s">
        <v>657</v>
      </c>
      <c r="D61" t="s">
        <v>658</v>
      </c>
      <c r="E61" s="152">
        <v>32117</v>
      </c>
      <c r="F61" t="s">
        <v>282</v>
      </c>
      <c r="G61" t="s">
        <v>283</v>
      </c>
      <c r="H61" t="s">
        <v>659</v>
      </c>
      <c r="I61" t="s">
        <v>660</v>
      </c>
      <c r="J61" t="s">
        <v>286</v>
      </c>
      <c r="K61" t="s">
        <v>661</v>
      </c>
      <c r="L61" s="152">
        <v>45809</v>
      </c>
      <c r="M61" t="s">
        <v>152</v>
      </c>
      <c r="N61" t="s">
        <v>662</v>
      </c>
    </row>
    <row r="62" spans="1:14" x14ac:dyDescent="0.3">
      <c r="A62" t="s">
        <v>148</v>
      </c>
      <c r="B62" t="s">
        <v>663</v>
      </c>
      <c r="C62" t="s">
        <v>528</v>
      </c>
      <c r="D62" t="s">
        <v>664</v>
      </c>
      <c r="E62" s="152">
        <v>25931</v>
      </c>
      <c r="F62" t="s">
        <v>282</v>
      </c>
      <c r="G62" t="s">
        <v>283</v>
      </c>
      <c r="H62" t="s">
        <v>665</v>
      </c>
      <c r="I62" t="s">
        <v>666</v>
      </c>
      <c r="J62" t="s">
        <v>607</v>
      </c>
      <c r="K62" t="s">
        <v>667</v>
      </c>
      <c r="L62" s="152">
        <v>45810</v>
      </c>
      <c r="M62" t="s">
        <v>151</v>
      </c>
      <c r="N62" t="s">
        <v>668</v>
      </c>
    </row>
    <row r="63" spans="1:14" x14ac:dyDescent="0.3">
      <c r="A63" t="s">
        <v>182</v>
      </c>
      <c r="B63" t="s">
        <v>669</v>
      </c>
      <c r="C63" t="s">
        <v>669</v>
      </c>
      <c r="D63" t="s">
        <v>670</v>
      </c>
      <c r="E63" s="152">
        <v>32576</v>
      </c>
      <c r="F63" t="s">
        <v>282</v>
      </c>
      <c r="G63" t="s">
        <v>283</v>
      </c>
      <c r="H63" t="s">
        <v>671</v>
      </c>
      <c r="I63" t="s">
        <v>672</v>
      </c>
      <c r="J63" t="s">
        <v>286</v>
      </c>
      <c r="K63" t="s">
        <v>673</v>
      </c>
      <c r="L63" s="152">
        <v>45810</v>
      </c>
      <c r="M63" t="s">
        <v>177</v>
      </c>
      <c r="N63" t="s">
        <v>302</v>
      </c>
    </row>
    <row r="64" spans="1:14" x14ac:dyDescent="0.3">
      <c r="A64" t="s">
        <v>674</v>
      </c>
      <c r="B64" t="s">
        <v>669</v>
      </c>
      <c r="C64" t="s">
        <v>420</v>
      </c>
      <c r="D64" t="s">
        <v>675</v>
      </c>
      <c r="E64" s="152">
        <v>36945</v>
      </c>
      <c r="F64" t="s">
        <v>282</v>
      </c>
      <c r="G64" t="s">
        <v>337</v>
      </c>
      <c r="H64" t="s">
        <v>676</v>
      </c>
      <c r="I64" t="s">
        <v>677</v>
      </c>
      <c r="J64" t="s">
        <v>286</v>
      </c>
      <c r="K64" t="s">
        <v>678</v>
      </c>
      <c r="L64" s="152">
        <v>45849</v>
      </c>
      <c r="M64" t="s">
        <v>341</v>
      </c>
    </row>
    <row r="65" spans="1:14" x14ac:dyDescent="0.3">
      <c r="A65" t="s">
        <v>679</v>
      </c>
      <c r="B65" t="s">
        <v>669</v>
      </c>
      <c r="C65" t="s">
        <v>680</v>
      </c>
      <c r="D65" t="s">
        <v>681</v>
      </c>
      <c r="E65" s="152">
        <v>33652</v>
      </c>
      <c r="F65" t="s">
        <v>282</v>
      </c>
      <c r="G65" t="s">
        <v>283</v>
      </c>
      <c r="H65" s="6">
        <v>979856680</v>
      </c>
      <c r="I65" t="s">
        <v>682</v>
      </c>
      <c r="J65" t="s">
        <v>286</v>
      </c>
      <c r="K65" t="s">
        <v>683</v>
      </c>
      <c r="L65" s="152">
        <v>45943</v>
      </c>
      <c r="M65" t="s">
        <v>341</v>
      </c>
    </row>
    <row r="66" spans="1:14" x14ac:dyDescent="0.3">
      <c r="A66" t="s">
        <v>684</v>
      </c>
      <c r="B66" t="s">
        <v>685</v>
      </c>
      <c r="C66" t="s">
        <v>686</v>
      </c>
      <c r="D66" t="s">
        <v>687</v>
      </c>
      <c r="E66" s="152">
        <v>35081</v>
      </c>
      <c r="F66" t="s">
        <v>612</v>
      </c>
      <c r="G66" t="s">
        <v>283</v>
      </c>
      <c r="H66" t="s">
        <v>688</v>
      </c>
      <c r="I66" t="s">
        <v>689</v>
      </c>
      <c r="J66" t="s">
        <v>286</v>
      </c>
      <c r="K66" t="s">
        <v>690</v>
      </c>
      <c r="L66" s="152">
        <v>45809</v>
      </c>
      <c r="M66" t="s">
        <v>341</v>
      </c>
    </row>
    <row r="67" spans="1:14" x14ac:dyDescent="0.3">
      <c r="A67" t="s">
        <v>209</v>
      </c>
      <c r="B67" t="s">
        <v>691</v>
      </c>
      <c r="C67" t="s">
        <v>692</v>
      </c>
      <c r="D67" t="s">
        <v>693</v>
      </c>
      <c r="E67" s="152">
        <v>36381</v>
      </c>
      <c r="F67" t="s">
        <v>282</v>
      </c>
      <c r="G67" t="s">
        <v>283</v>
      </c>
      <c r="H67" t="s">
        <v>694</v>
      </c>
      <c r="I67" t="s">
        <v>695</v>
      </c>
      <c r="J67" t="s">
        <v>286</v>
      </c>
      <c r="K67" t="s">
        <v>696</v>
      </c>
      <c r="L67" s="152">
        <v>45810</v>
      </c>
      <c r="M67" t="s">
        <v>177</v>
      </c>
      <c r="N67" t="s">
        <v>294</v>
      </c>
    </row>
    <row r="68" spans="1:14" x14ac:dyDescent="0.3">
      <c r="A68" t="s">
        <v>149</v>
      </c>
      <c r="B68" t="s">
        <v>691</v>
      </c>
      <c r="C68" t="s">
        <v>697</v>
      </c>
      <c r="D68" t="s">
        <v>698</v>
      </c>
      <c r="E68" s="152">
        <v>35250</v>
      </c>
      <c r="F68" t="s">
        <v>282</v>
      </c>
      <c r="G68" t="s">
        <v>283</v>
      </c>
      <c r="H68" t="s">
        <v>699</v>
      </c>
      <c r="I68" t="s">
        <v>700</v>
      </c>
      <c r="J68" t="s">
        <v>286</v>
      </c>
      <c r="K68" t="s">
        <v>701</v>
      </c>
      <c r="L68" s="152">
        <v>45810</v>
      </c>
      <c r="M68" t="s">
        <v>151</v>
      </c>
      <c r="N68" t="s">
        <v>302</v>
      </c>
    </row>
    <row r="69" spans="1:14" x14ac:dyDescent="0.3">
      <c r="A69" t="s">
        <v>702</v>
      </c>
      <c r="B69" t="s">
        <v>566</v>
      </c>
      <c r="C69" t="s">
        <v>703</v>
      </c>
      <c r="D69" t="s">
        <v>704</v>
      </c>
      <c r="E69" s="152">
        <v>36573</v>
      </c>
      <c r="F69" t="s">
        <v>282</v>
      </c>
      <c r="G69" t="s">
        <v>283</v>
      </c>
      <c r="H69" t="s">
        <v>705</v>
      </c>
      <c r="I69" t="s">
        <v>706</v>
      </c>
      <c r="J69" t="s">
        <v>286</v>
      </c>
      <c r="K69" t="s">
        <v>707</v>
      </c>
      <c r="L69" s="152">
        <v>45810</v>
      </c>
      <c r="M69" t="s">
        <v>520</v>
      </c>
    </row>
    <row r="70" spans="1:14" x14ac:dyDescent="0.3">
      <c r="A70" t="s">
        <v>708</v>
      </c>
      <c r="B70" t="s">
        <v>709</v>
      </c>
      <c r="C70" t="s">
        <v>710</v>
      </c>
      <c r="D70" t="s">
        <v>711</v>
      </c>
      <c r="E70" s="152">
        <v>29567</v>
      </c>
      <c r="F70" t="s">
        <v>282</v>
      </c>
      <c r="G70" t="s">
        <v>283</v>
      </c>
      <c r="H70" t="s">
        <v>712</v>
      </c>
      <c r="I70" t="s">
        <v>713</v>
      </c>
      <c r="J70" t="s">
        <v>286</v>
      </c>
      <c r="K70" t="s">
        <v>714</v>
      </c>
      <c r="L70" s="152">
        <v>45809</v>
      </c>
      <c r="M70" t="s">
        <v>341</v>
      </c>
      <c r="N70" t="s">
        <v>302</v>
      </c>
    </row>
    <row r="71" spans="1:14" x14ac:dyDescent="0.3">
      <c r="A71" t="s">
        <v>150</v>
      </c>
      <c r="B71" t="s">
        <v>715</v>
      </c>
      <c r="C71" t="s">
        <v>280</v>
      </c>
      <c r="D71" t="s">
        <v>716</v>
      </c>
      <c r="E71" s="152">
        <v>33016</v>
      </c>
      <c r="F71" t="s">
        <v>282</v>
      </c>
      <c r="G71" t="s">
        <v>283</v>
      </c>
      <c r="H71" t="s">
        <v>717</v>
      </c>
      <c r="I71" t="s">
        <v>718</v>
      </c>
      <c r="J71" t="s">
        <v>286</v>
      </c>
      <c r="K71" t="s">
        <v>719</v>
      </c>
      <c r="L71" s="152">
        <v>45810</v>
      </c>
      <c r="M71" t="s">
        <v>152</v>
      </c>
      <c r="N71" t="s">
        <v>720</v>
      </c>
    </row>
  </sheetData>
  <hyperlinks>
    <hyperlink ref="I28" r:id="rId1" xr:uid="{CFD0888B-7065-4D91-9182-6D01614E9ACF}"/>
    <hyperlink ref="I29" r:id="rId2" xr:uid="{49E64878-C9C8-415B-9767-0FC1DCA3BDA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5A79-C7C4-4549-AAD2-57BAECDA9391}">
  <dimension ref="A1:Q25"/>
  <sheetViews>
    <sheetView workbookViewId="0">
      <selection activeCell="S13" sqref="S13"/>
    </sheetView>
  </sheetViews>
  <sheetFormatPr baseColWidth="10" defaultRowHeight="14.4" x14ac:dyDescent="0.3"/>
  <cols>
    <col min="1" max="1" width="32.5546875" customWidth="1"/>
    <col min="3" max="3" width="25.109375" bestFit="1" customWidth="1"/>
    <col min="4" max="4" width="12.77734375" style="2" customWidth="1"/>
    <col min="5" max="5" width="11.5546875" style="2"/>
    <col min="6" max="6" width="14.6640625" style="2" hidden="1" customWidth="1"/>
    <col min="7" max="7" width="15.109375" style="2" hidden="1" customWidth="1"/>
    <col min="8" max="8" width="6.109375" style="2" hidden="1" customWidth="1"/>
    <col min="9" max="9" width="25.21875" style="2" hidden="1" customWidth="1"/>
    <col min="10" max="16" width="0" style="2" hidden="1" customWidth="1"/>
    <col min="17" max="17" width="11.5546875" style="2"/>
  </cols>
  <sheetData>
    <row r="1" spans="1:17" x14ac:dyDescent="0.3">
      <c r="A1" s="48" t="s">
        <v>214</v>
      </c>
      <c r="B1" s="48" t="s">
        <v>215</v>
      </c>
      <c r="C1" s="48" t="s">
        <v>216</v>
      </c>
      <c r="D1" s="49" t="s">
        <v>217</v>
      </c>
      <c r="E1" s="49" t="s">
        <v>1</v>
      </c>
      <c r="F1" s="49" t="s">
        <v>218</v>
      </c>
      <c r="J1" s="50">
        <v>45957</v>
      </c>
      <c r="K1" s="50">
        <v>45958</v>
      </c>
      <c r="L1" s="50">
        <v>45959</v>
      </c>
      <c r="M1" s="50">
        <v>45960</v>
      </c>
      <c r="N1" s="50">
        <v>45961</v>
      </c>
      <c r="O1" s="50">
        <v>45962</v>
      </c>
      <c r="P1" s="50">
        <v>45963</v>
      </c>
      <c r="Q1" s="50">
        <v>45964</v>
      </c>
    </row>
    <row r="2" spans="1:17" s="60" customFormat="1" x14ac:dyDescent="0.3">
      <c r="A2" s="51" t="s">
        <v>91</v>
      </c>
      <c r="B2" s="52"/>
      <c r="C2" s="52" t="s">
        <v>219</v>
      </c>
      <c r="D2" s="53" t="s">
        <v>92</v>
      </c>
      <c r="E2" s="54" t="s">
        <v>46</v>
      </c>
      <c r="F2" s="55" t="s">
        <v>220</v>
      </c>
      <c r="G2" s="55"/>
      <c r="H2" s="55"/>
      <c r="I2" s="55"/>
      <c r="J2" s="50"/>
      <c r="K2" s="50"/>
      <c r="L2" s="56">
        <v>7222</v>
      </c>
      <c r="M2" s="57">
        <v>7250</v>
      </c>
      <c r="N2" s="58">
        <v>7250</v>
      </c>
      <c r="O2" s="59">
        <v>7250</v>
      </c>
      <c r="P2" s="57">
        <v>7250</v>
      </c>
      <c r="Q2" s="57">
        <v>7452</v>
      </c>
    </row>
    <row r="3" spans="1:17" s="60" customFormat="1" x14ac:dyDescent="0.3">
      <c r="A3" s="38" t="s">
        <v>82</v>
      </c>
      <c r="B3" s="52" t="s">
        <v>221</v>
      </c>
      <c r="C3" s="52" t="s">
        <v>219</v>
      </c>
      <c r="D3" s="53" t="s">
        <v>93</v>
      </c>
      <c r="E3" s="54" t="s">
        <v>100</v>
      </c>
      <c r="F3" s="61" t="s">
        <v>222</v>
      </c>
      <c r="G3" s="55" t="s">
        <v>223</v>
      </c>
      <c r="H3" s="55">
        <v>2025</v>
      </c>
      <c r="I3" s="55" t="s">
        <v>224</v>
      </c>
      <c r="J3" s="62"/>
      <c r="K3" s="62"/>
      <c r="L3" s="40">
        <v>3404</v>
      </c>
      <c r="M3" s="57">
        <v>3404</v>
      </c>
      <c r="N3" s="58">
        <v>3509.5</v>
      </c>
      <c r="O3" s="63">
        <v>3509.5</v>
      </c>
      <c r="P3" s="57">
        <v>3509.5</v>
      </c>
      <c r="Q3" s="57">
        <v>3575</v>
      </c>
    </row>
    <row r="4" spans="1:17" s="60" customFormat="1" x14ac:dyDescent="0.3">
      <c r="A4" s="38" t="s">
        <v>82</v>
      </c>
      <c r="B4" s="52" t="s">
        <v>221</v>
      </c>
      <c r="C4" s="52" t="s">
        <v>219</v>
      </c>
      <c r="D4" s="53" t="s">
        <v>94</v>
      </c>
      <c r="E4" s="54" t="s">
        <v>101</v>
      </c>
      <c r="F4" s="61" t="s">
        <v>222</v>
      </c>
      <c r="G4" s="55" t="s">
        <v>223</v>
      </c>
      <c r="H4" s="55">
        <v>2025</v>
      </c>
      <c r="I4" s="55" t="s">
        <v>224</v>
      </c>
      <c r="J4" s="62"/>
      <c r="K4" s="62">
        <v>9182</v>
      </c>
      <c r="L4" s="40">
        <v>7497</v>
      </c>
      <c r="M4" s="57">
        <v>7551</v>
      </c>
      <c r="N4" s="58">
        <v>7836</v>
      </c>
      <c r="O4" s="64">
        <v>7910</v>
      </c>
      <c r="P4" s="57">
        <v>8016</v>
      </c>
      <c r="Q4" s="57">
        <v>8117.7</v>
      </c>
    </row>
    <row r="5" spans="1:17" x14ac:dyDescent="0.3">
      <c r="A5" s="39" t="s">
        <v>82</v>
      </c>
      <c r="B5" s="52" t="s">
        <v>221</v>
      </c>
      <c r="C5" s="52" t="s">
        <v>219</v>
      </c>
      <c r="D5" s="53" t="s">
        <v>95</v>
      </c>
      <c r="E5" s="54" t="s">
        <v>102</v>
      </c>
      <c r="F5" s="61" t="s">
        <v>222</v>
      </c>
      <c r="G5" s="55" t="s">
        <v>223</v>
      </c>
      <c r="H5" s="55">
        <v>2025</v>
      </c>
      <c r="I5" s="55" t="s">
        <v>224</v>
      </c>
      <c r="J5" s="65"/>
      <c r="K5" s="66"/>
      <c r="L5" s="41">
        <v>3050</v>
      </c>
      <c r="M5" s="49">
        <v>3070</v>
      </c>
      <c r="N5" s="67">
        <v>3070</v>
      </c>
      <c r="O5" s="68">
        <v>3263</v>
      </c>
      <c r="P5" s="49">
        <v>3265.2</v>
      </c>
      <c r="Q5" s="49"/>
    </row>
    <row r="6" spans="1:17" x14ac:dyDescent="0.3">
      <c r="A6" s="39" t="s">
        <v>82</v>
      </c>
      <c r="B6" s="52" t="s">
        <v>221</v>
      </c>
      <c r="C6" s="52" t="s">
        <v>219</v>
      </c>
      <c r="D6" s="53" t="s">
        <v>96</v>
      </c>
      <c r="E6" s="54" t="s">
        <v>103</v>
      </c>
      <c r="F6" s="61" t="s">
        <v>222</v>
      </c>
      <c r="G6" s="55" t="s">
        <v>223</v>
      </c>
      <c r="H6" s="55">
        <v>2025</v>
      </c>
      <c r="I6" s="55" t="s">
        <v>224</v>
      </c>
      <c r="J6" s="65"/>
      <c r="K6" s="66"/>
      <c r="L6" s="41">
        <v>7535</v>
      </c>
      <c r="M6" s="49">
        <v>7550</v>
      </c>
      <c r="N6" s="67">
        <v>7550</v>
      </c>
      <c r="O6" s="68">
        <v>7550</v>
      </c>
      <c r="P6" s="49">
        <v>7550</v>
      </c>
      <c r="Q6" s="49"/>
    </row>
    <row r="7" spans="1:17" s="70" customFormat="1" x14ac:dyDescent="0.3">
      <c r="A7" s="38" t="s">
        <v>82</v>
      </c>
      <c r="B7" s="52" t="s">
        <v>221</v>
      </c>
      <c r="C7" s="52" t="s">
        <v>219</v>
      </c>
      <c r="D7" s="53" t="s">
        <v>97</v>
      </c>
      <c r="E7" s="54" t="s">
        <v>104</v>
      </c>
      <c r="F7" s="61" t="s">
        <v>222</v>
      </c>
      <c r="G7" s="55" t="s">
        <v>223</v>
      </c>
      <c r="H7" s="55">
        <v>2025</v>
      </c>
      <c r="I7" s="55" t="s">
        <v>224</v>
      </c>
      <c r="J7" s="65"/>
      <c r="K7" s="66"/>
      <c r="L7" s="41">
        <v>4407</v>
      </c>
      <c r="M7" s="69">
        <v>4461</v>
      </c>
      <c r="N7" s="67">
        <v>4699</v>
      </c>
      <c r="O7" s="66">
        <v>4732</v>
      </c>
      <c r="P7" s="69">
        <v>4732</v>
      </c>
      <c r="Q7" s="69">
        <v>4872</v>
      </c>
    </row>
    <row r="8" spans="1:17" x14ac:dyDescent="0.3">
      <c r="A8" s="38" t="s">
        <v>82</v>
      </c>
      <c r="B8" s="52" t="s">
        <v>221</v>
      </c>
      <c r="C8" s="52" t="s">
        <v>219</v>
      </c>
      <c r="D8" s="53" t="s">
        <v>98</v>
      </c>
      <c r="E8" s="54" t="s">
        <v>105</v>
      </c>
      <c r="F8" s="61" t="s">
        <v>222</v>
      </c>
      <c r="G8" s="55" t="s">
        <v>223</v>
      </c>
      <c r="H8" s="55">
        <v>2025</v>
      </c>
      <c r="I8" s="55" t="s">
        <v>224</v>
      </c>
      <c r="J8" s="65"/>
      <c r="K8" s="66"/>
      <c r="L8" s="41">
        <v>3368</v>
      </c>
      <c r="M8" s="49">
        <v>3389</v>
      </c>
      <c r="N8" s="67">
        <v>3412.5</v>
      </c>
      <c r="O8" s="66">
        <v>3412.5</v>
      </c>
      <c r="P8" s="49">
        <v>3412.5</v>
      </c>
      <c r="Q8" s="49"/>
    </row>
    <row r="9" spans="1:17" x14ac:dyDescent="0.3">
      <c r="A9" s="39" t="s">
        <v>82</v>
      </c>
      <c r="B9" s="52" t="s">
        <v>221</v>
      </c>
      <c r="C9" s="52" t="s">
        <v>219</v>
      </c>
      <c r="D9" s="53" t="s">
        <v>99</v>
      </c>
      <c r="E9" s="54" t="s">
        <v>106</v>
      </c>
      <c r="F9" s="61" t="s">
        <v>222</v>
      </c>
      <c r="G9" s="55" t="s">
        <v>223</v>
      </c>
      <c r="H9" s="55">
        <v>2025</v>
      </c>
      <c r="I9" s="55" t="s">
        <v>224</v>
      </c>
      <c r="J9" s="65"/>
      <c r="K9" s="66"/>
      <c r="L9" s="41">
        <v>4462</v>
      </c>
      <c r="M9" s="49">
        <v>4523</v>
      </c>
      <c r="N9" s="67">
        <v>4593</v>
      </c>
      <c r="O9" s="68">
        <v>4646</v>
      </c>
      <c r="P9" s="49">
        <v>4692</v>
      </c>
      <c r="Q9" s="49">
        <v>4523</v>
      </c>
    </row>
    <row r="10" spans="1:17" s="70" customFormat="1" x14ac:dyDescent="0.3">
      <c r="A10" s="71" t="s">
        <v>107</v>
      </c>
      <c r="B10" s="72" t="s">
        <v>225</v>
      </c>
      <c r="C10" s="73" t="s">
        <v>226</v>
      </c>
      <c r="D10" s="74">
        <v>465</v>
      </c>
      <c r="E10" s="74" t="s">
        <v>15</v>
      </c>
      <c r="F10" s="75" t="s">
        <v>227</v>
      </c>
      <c r="G10" s="74" t="s">
        <v>228</v>
      </c>
      <c r="H10" s="76">
        <v>2025</v>
      </c>
      <c r="I10" s="77" t="s">
        <v>229</v>
      </c>
      <c r="J10" s="77">
        <v>291.3</v>
      </c>
      <c r="K10" s="78">
        <v>292</v>
      </c>
      <c r="L10" s="79">
        <v>293.10000000000002</v>
      </c>
      <c r="M10" s="69" t="s">
        <v>129</v>
      </c>
      <c r="N10" s="69" t="s">
        <v>129</v>
      </c>
      <c r="O10" s="69">
        <v>299.10000000000002</v>
      </c>
      <c r="P10" s="69">
        <v>288.10000000000002</v>
      </c>
      <c r="Q10" s="93"/>
    </row>
    <row r="11" spans="1:17" s="70" customFormat="1" x14ac:dyDescent="0.3">
      <c r="A11" s="80" t="s">
        <v>107</v>
      </c>
      <c r="B11" s="81" t="s">
        <v>225</v>
      </c>
      <c r="C11" s="82" t="s">
        <v>230</v>
      </c>
      <c r="D11" s="69">
        <v>466</v>
      </c>
      <c r="E11" s="69" t="s">
        <v>16</v>
      </c>
      <c r="F11" s="83" t="s">
        <v>227</v>
      </c>
      <c r="G11" s="69" t="s">
        <v>231</v>
      </c>
      <c r="H11" s="84">
        <v>2025</v>
      </c>
      <c r="I11" s="85" t="s">
        <v>229</v>
      </c>
      <c r="J11" s="86">
        <v>272.8</v>
      </c>
      <c r="K11" s="87">
        <v>275</v>
      </c>
      <c r="L11" s="79">
        <v>275</v>
      </c>
      <c r="M11" s="69">
        <v>278.8</v>
      </c>
      <c r="N11" s="69">
        <v>278.8</v>
      </c>
      <c r="O11" s="69">
        <v>278.8</v>
      </c>
      <c r="P11" s="69">
        <v>278.8</v>
      </c>
      <c r="Q11" s="69"/>
    </row>
    <row r="12" spans="1:17" s="70" customFormat="1" x14ac:dyDescent="0.3">
      <c r="A12" s="80" t="s">
        <v>107</v>
      </c>
      <c r="B12" s="82" t="s">
        <v>232</v>
      </c>
      <c r="C12" s="82" t="s">
        <v>233</v>
      </c>
      <c r="D12" s="69">
        <v>461</v>
      </c>
      <c r="E12" s="69" t="s">
        <v>17</v>
      </c>
      <c r="F12" s="83" t="s">
        <v>227</v>
      </c>
      <c r="G12" s="69" t="s">
        <v>234</v>
      </c>
      <c r="H12" s="84">
        <v>2023</v>
      </c>
      <c r="I12" s="85" t="s">
        <v>229</v>
      </c>
      <c r="J12" s="85">
        <v>64</v>
      </c>
      <c r="K12" s="88">
        <v>64.2</v>
      </c>
      <c r="L12" s="79">
        <v>64.2</v>
      </c>
      <c r="M12" s="69">
        <v>64.900000000000006</v>
      </c>
      <c r="N12" s="69">
        <v>64.900000000000006</v>
      </c>
      <c r="O12" s="69">
        <v>64.900000000000006</v>
      </c>
      <c r="P12" s="69">
        <v>64.900000000000006</v>
      </c>
      <c r="Q12" s="69">
        <v>64.900000000000006</v>
      </c>
    </row>
    <row r="13" spans="1:17" s="70" customFormat="1" x14ac:dyDescent="0.3">
      <c r="A13" s="80" t="s">
        <v>108</v>
      </c>
      <c r="B13" s="82" t="s">
        <v>232</v>
      </c>
      <c r="C13" s="82" t="s">
        <v>235</v>
      </c>
      <c r="D13" s="69">
        <v>462</v>
      </c>
      <c r="E13" s="69" t="s">
        <v>18</v>
      </c>
      <c r="F13" s="83" t="s">
        <v>227</v>
      </c>
      <c r="G13" s="69" t="s">
        <v>234</v>
      </c>
      <c r="H13" s="84">
        <v>2024</v>
      </c>
      <c r="I13" s="85" t="s">
        <v>229</v>
      </c>
      <c r="J13" s="85">
        <v>200</v>
      </c>
      <c r="K13" s="88">
        <v>200.5</v>
      </c>
      <c r="L13" s="79">
        <v>200.5</v>
      </c>
      <c r="M13" s="69">
        <v>200.6</v>
      </c>
      <c r="N13" s="69">
        <v>203.1</v>
      </c>
      <c r="O13" s="69">
        <v>203.5</v>
      </c>
      <c r="P13" s="69">
        <v>203.5</v>
      </c>
      <c r="Q13" s="69"/>
    </row>
    <row r="14" spans="1:17" s="70" customFormat="1" x14ac:dyDescent="0.3">
      <c r="A14" s="80" t="s">
        <v>107</v>
      </c>
      <c r="B14" s="89" t="s">
        <v>232</v>
      </c>
      <c r="C14" s="82" t="s">
        <v>236</v>
      </c>
      <c r="D14" s="69">
        <v>463</v>
      </c>
      <c r="E14" s="69" t="s">
        <v>19</v>
      </c>
      <c r="F14" s="83" t="s">
        <v>227</v>
      </c>
      <c r="G14" s="69" t="s">
        <v>234</v>
      </c>
      <c r="H14" s="84">
        <v>2024</v>
      </c>
      <c r="I14" s="85" t="s">
        <v>229</v>
      </c>
      <c r="J14" s="85">
        <v>158.6</v>
      </c>
      <c r="K14" s="88">
        <v>162.69999999999999</v>
      </c>
      <c r="L14" s="79">
        <v>162.80000000000001</v>
      </c>
      <c r="M14" s="69">
        <v>170</v>
      </c>
      <c r="N14" s="69">
        <v>170</v>
      </c>
      <c r="O14" s="69">
        <v>170</v>
      </c>
      <c r="P14" s="69">
        <v>170</v>
      </c>
      <c r="Q14" s="69"/>
    </row>
    <row r="15" spans="1:17" s="37" customFormat="1" x14ac:dyDescent="0.3">
      <c r="A15" s="90" t="s">
        <v>108</v>
      </c>
      <c r="B15" s="91" t="s">
        <v>232</v>
      </c>
      <c r="C15" s="92" t="s">
        <v>237</v>
      </c>
      <c r="D15" s="93">
        <v>464</v>
      </c>
      <c r="E15" s="93" t="s">
        <v>20</v>
      </c>
      <c r="F15" s="94" t="s">
        <v>227</v>
      </c>
      <c r="G15" s="93" t="s">
        <v>234</v>
      </c>
      <c r="H15" s="95">
        <v>2024</v>
      </c>
      <c r="I15" s="96" t="s">
        <v>229</v>
      </c>
      <c r="J15" s="96">
        <v>151</v>
      </c>
      <c r="K15" s="97">
        <v>151.5</v>
      </c>
      <c r="L15" s="98" t="s">
        <v>131</v>
      </c>
      <c r="M15" s="93" t="s">
        <v>130</v>
      </c>
      <c r="N15" s="93">
        <v>236.6</v>
      </c>
      <c r="O15" s="93">
        <v>238.5</v>
      </c>
      <c r="P15" s="93">
        <v>238.5</v>
      </c>
      <c r="Q15" s="93">
        <v>238.8</v>
      </c>
    </row>
    <row r="16" spans="1:17" s="70" customFormat="1" x14ac:dyDescent="0.3">
      <c r="A16" s="80" t="s">
        <v>109</v>
      </c>
      <c r="B16" s="89" t="s">
        <v>238</v>
      </c>
      <c r="C16" s="82" t="s">
        <v>235</v>
      </c>
      <c r="D16" s="69">
        <v>459</v>
      </c>
      <c r="E16" s="69" t="s">
        <v>21</v>
      </c>
      <c r="F16" s="83" t="s">
        <v>227</v>
      </c>
      <c r="G16" s="69" t="s">
        <v>239</v>
      </c>
      <c r="H16" s="84">
        <v>2024</v>
      </c>
      <c r="I16" s="85" t="s">
        <v>229</v>
      </c>
      <c r="J16" s="85">
        <v>118</v>
      </c>
      <c r="K16" s="88">
        <v>118.6</v>
      </c>
      <c r="L16" s="79">
        <v>119</v>
      </c>
      <c r="M16" s="69">
        <v>120</v>
      </c>
      <c r="N16" s="69">
        <v>123.6</v>
      </c>
      <c r="O16" s="69">
        <v>123.8</v>
      </c>
      <c r="P16" s="69">
        <v>124</v>
      </c>
      <c r="Q16" s="69"/>
    </row>
    <row r="17" spans="1:17" s="70" customFormat="1" x14ac:dyDescent="0.3">
      <c r="A17" s="80" t="s">
        <v>109</v>
      </c>
      <c r="B17" s="99" t="s">
        <v>238</v>
      </c>
      <c r="C17" s="82" t="s">
        <v>236</v>
      </c>
      <c r="D17" s="69">
        <v>460</v>
      </c>
      <c r="E17" s="69" t="s">
        <v>22</v>
      </c>
      <c r="F17" s="83" t="s">
        <v>227</v>
      </c>
      <c r="G17" s="69" t="s">
        <v>240</v>
      </c>
      <c r="H17" s="84">
        <v>2024</v>
      </c>
      <c r="I17" s="85" t="s">
        <v>229</v>
      </c>
      <c r="J17" s="85">
        <v>151.1</v>
      </c>
      <c r="K17" s="88">
        <v>151.5</v>
      </c>
      <c r="L17" s="79">
        <v>152.4</v>
      </c>
      <c r="M17" s="69">
        <v>153.19999999999999</v>
      </c>
      <c r="N17" s="69">
        <v>153.9</v>
      </c>
      <c r="O17" s="69">
        <v>153.9</v>
      </c>
      <c r="P17" s="69">
        <v>153.9</v>
      </c>
      <c r="Q17" s="69">
        <v>155.30000000000001</v>
      </c>
    </row>
    <row r="18" spans="1:17" s="70" customFormat="1" x14ac:dyDescent="0.3">
      <c r="A18" s="80" t="s">
        <v>110</v>
      </c>
      <c r="B18" s="99" t="s">
        <v>241</v>
      </c>
      <c r="C18" s="82" t="s">
        <v>242</v>
      </c>
      <c r="D18" s="69">
        <v>475</v>
      </c>
      <c r="E18" s="69" t="s">
        <v>23</v>
      </c>
      <c r="F18" s="83" t="s">
        <v>227</v>
      </c>
      <c r="G18" s="69" t="s">
        <v>243</v>
      </c>
      <c r="H18" s="84">
        <v>2023</v>
      </c>
      <c r="I18" s="85" t="s">
        <v>229</v>
      </c>
      <c r="J18" s="85">
        <v>50</v>
      </c>
      <c r="K18" s="88">
        <v>50</v>
      </c>
      <c r="L18" s="79">
        <v>50</v>
      </c>
      <c r="M18" s="69">
        <v>53</v>
      </c>
      <c r="N18" s="69">
        <v>53</v>
      </c>
      <c r="O18" s="69">
        <v>54</v>
      </c>
      <c r="P18" s="69">
        <v>55</v>
      </c>
      <c r="Q18" s="69"/>
    </row>
    <row r="19" spans="1:17" s="70" customFormat="1" ht="15" thickBot="1" x14ac:dyDescent="0.35">
      <c r="A19" s="80" t="s">
        <v>110</v>
      </c>
      <c r="B19" s="100" t="s">
        <v>244</v>
      </c>
      <c r="C19" s="82" t="s">
        <v>245</v>
      </c>
      <c r="D19" s="69">
        <v>467</v>
      </c>
      <c r="E19" s="69" t="s">
        <v>24</v>
      </c>
      <c r="F19" s="83" t="s">
        <v>227</v>
      </c>
      <c r="G19" s="69" t="s">
        <v>246</v>
      </c>
      <c r="H19" s="84">
        <v>2023</v>
      </c>
      <c r="I19" s="85" t="s">
        <v>229</v>
      </c>
      <c r="J19" s="36">
        <v>195</v>
      </c>
      <c r="K19" s="101">
        <v>196.7</v>
      </c>
      <c r="L19" s="79">
        <v>197</v>
      </c>
      <c r="M19" s="69">
        <v>198</v>
      </c>
      <c r="N19" s="69">
        <v>198</v>
      </c>
      <c r="O19" s="69">
        <v>198</v>
      </c>
      <c r="P19" s="69">
        <v>198</v>
      </c>
      <c r="Q19" s="69"/>
    </row>
    <row r="20" spans="1:17" ht="27.6" x14ac:dyDescent="0.3">
      <c r="A20" s="102" t="s">
        <v>122</v>
      </c>
      <c r="B20" s="103" t="s">
        <v>247</v>
      </c>
      <c r="C20" s="104" t="s">
        <v>248</v>
      </c>
      <c r="D20" s="77" t="s">
        <v>111</v>
      </c>
      <c r="E20" s="105" t="s">
        <v>112</v>
      </c>
      <c r="F20" s="75" t="s">
        <v>249</v>
      </c>
      <c r="G20" s="105" t="s">
        <v>250</v>
      </c>
      <c r="H20" s="106"/>
      <c r="I20" s="107"/>
      <c r="J20" s="69"/>
      <c r="K20" s="69"/>
      <c r="L20" s="108">
        <v>5584</v>
      </c>
      <c r="M20" s="49">
        <v>5625</v>
      </c>
      <c r="N20" s="49">
        <v>5625</v>
      </c>
      <c r="O20" s="49">
        <v>5625</v>
      </c>
      <c r="P20" s="49">
        <v>5625</v>
      </c>
      <c r="Q20" s="49">
        <v>5639</v>
      </c>
    </row>
    <row r="21" spans="1:17" ht="27.6" x14ac:dyDescent="0.3">
      <c r="A21" s="109" t="s">
        <v>122</v>
      </c>
      <c r="B21" s="81" t="s">
        <v>247</v>
      </c>
      <c r="C21" s="38" t="s">
        <v>248</v>
      </c>
      <c r="D21" s="85" t="s">
        <v>113</v>
      </c>
      <c r="E21" s="49" t="s">
        <v>114</v>
      </c>
      <c r="F21" s="83" t="s">
        <v>249</v>
      </c>
      <c r="G21" s="49" t="s">
        <v>250</v>
      </c>
      <c r="H21" s="110"/>
      <c r="I21" s="111"/>
      <c r="J21" s="69"/>
      <c r="K21" s="69"/>
      <c r="L21" s="108">
        <v>6805</v>
      </c>
      <c r="M21" s="108">
        <v>6840</v>
      </c>
      <c r="N21" s="49">
        <v>6840</v>
      </c>
      <c r="O21" s="49">
        <v>6840</v>
      </c>
      <c r="P21" s="49">
        <v>6840</v>
      </c>
      <c r="Q21" s="49"/>
    </row>
    <row r="22" spans="1:17" ht="27.6" x14ac:dyDescent="0.3">
      <c r="A22" s="109" t="s">
        <v>123</v>
      </c>
      <c r="B22" s="81" t="s">
        <v>251</v>
      </c>
      <c r="C22" s="38" t="s">
        <v>248</v>
      </c>
      <c r="D22" s="69" t="s">
        <v>115</v>
      </c>
      <c r="E22" s="49" t="s">
        <v>54</v>
      </c>
      <c r="F22" s="83" t="s">
        <v>249</v>
      </c>
      <c r="G22" s="49" t="s">
        <v>250</v>
      </c>
      <c r="H22" s="110">
        <v>2025</v>
      </c>
      <c r="I22" s="111"/>
      <c r="J22" s="69"/>
      <c r="K22" s="69"/>
      <c r="L22" s="108">
        <v>9337</v>
      </c>
      <c r="M22" s="108">
        <v>9387</v>
      </c>
      <c r="N22" s="49">
        <v>9456</v>
      </c>
      <c r="O22" s="49">
        <v>9507</v>
      </c>
      <c r="P22" s="49">
        <v>9507</v>
      </c>
      <c r="Q22" s="49">
        <v>9387</v>
      </c>
    </row>
    <row r="23" spans="1:17" ht="27.6" x14ac:dyDescent="0.3">
      <c r="A23" s="109" t="s">
        <v>123</v>
      </c>
      <c r="B23" s="81" t="s">
        <v>252</v>
      </c>
      <c r="C23" s="38" t="s">
        <v>248</v>
      </c>
      <c r="D23" s="85" t="s">
        <v>116</v>
      </c>
      <c r="E23" s="49" t="s">
        <v>117</v>
      </c>
      <c r="F23" s="83" t="s">
        <v>249</v>
      </c>
      <c r="G23" s="49" t="s">
        <v>250</v>
      </c>
      <c r="H23" s="110">
        <v>2025</v>
      </c>
      <c r="I23" s="111"/>
      <c r="J23" s="69"/>
      <c r="K23" s="69"/>
      <c r="L23" s="108">
        <v>7543</v>
      </c>
      <c r="M23" s="108">
        <v>7585</v>
      </c>
      <c r="N23" s="49">
        <v>7622</v>
      </c>
      <c r="O23" s="49">
        <v>7656</v>
      </c>
      <c r="P23" s="49">
        <v>7742</v>
      </c>
      <c r="Q23" s="49">
        <v>7766</v>
      </c>
    </row>
    <row r="24" spans="1:17" ht="27.6" x14ac:dyDescent="0.3">
      <c r="A24" s="109" t="s">
        <v>124</v>
      </c>
      <c r="B24" s="112" t="s">
        <v>253</v>
      </c>
      <c r="C24" s="38" t="s">
        <v>248</v>
      </c>
      <c r="D24" s="69" t="s">
        <v>118</v>
      </c>
      <c r="E24" s="49" t="s">
        <v>119</v>
      </c>
      <c r="F24" s="83" t="s">
        <v>249</v>
      </c>
      <c r="G24" s="49" t="s">
        <v>250</v>
      </c>
      <c r="H24" s="110"/>
      <c r="I24" s="111"/>
      <c r="J24" s="69"/>
      <c r="K24" s="69"/>
      <c r="L24" s="108">
        <v>227834</v>
      </c>
      <c r="M24" s="108">
        <v>227850</v>
      </c>
      <c r="N24" s="49">
        <v>227849</v>
      </c>
      <c r="O24" s="49">
        <v>227849</v>
      </c>
      <c r="P24" s="49">
        <v>227849</v>
      </c>
      <c r="Q24" s="49"/>
    </row>
    <row r="25" spans="1:17" ht="27.6" x14ac:dyDescent="0.3">
      <c r="A25" s="113" t="s">
        <v>125</v>
      </c>
      <c r="B25" s="114" t="s">
        <v>254</v>
      </c>
      <c r="C25" s="38" t="s">
        <v>248</v>
      </c>
      <c r="D25" s="69" t="s">
        <v>120</v>
      </c>
      <c r="E25" s="49" t="s">
        <v>121</v>
      </c>
      <c r="F25" s="83" t="s">
        <v>249</v>
      </c>
      <c r="G25" s="49" t="s">
        <v>255</v>
      </c>
      <c r="H25" s="110">
        <v>2022</v>
      </c>
      <c r="I25" s="111"/>
      <c r="J25" s="69"/>
      <c r="K25" s="69"/>
      <c r="L25" s="108">
        <v>6014</v>
      </c>
      <c r="M25" s="108">
        <v>6030</v>
      </c>
      <c r="N25" s="49">
        <v>6445.6</v>
      </c>
      <c r="O25" s="49">
        <v>6445.6</v>
      </c>
      <c r="P25" s="49">
        <v>6445.6</v>
      </c>
      <c r="Q25" s="49">
        <v>6561</v>
      </c>
    </row>
  </sheetData>
  <conditionalFormatting sqref="N2:N9">
    <cfRule type="containsText" dxfId="4" priority="1" operator="containsText" text="Programar ">
      <formula>NOT(ISERROR(SEARCH("Programar ",N2)))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Registro_Diario</vt:lpstr>
      <vt:lpstr>Hoja2</vt:lpstr>
      <vt:lpstr>Tabla Resume</vt:lpstr>
      <vt:lpstr>Consumo Adblue</vt:lpstr>
      <vt:lpstr>Pivot_Equipos</vt:lpstr>
      <vt:lpstr>Listado de Operadores</vt:lpstr>
      <vt:lpstr>Hoja1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Mendez Moncada</cp:lastModifiedBy>
  <dcterms:created xsi:type="dcterms:W3CDTF">2025-10-28T13:11:25Z</dcterms:created>
  <dcterms:modified xsi:type="dcterms:W3CDTF">2025-11-11T20:10:35Z</dcterms:modified>
</cp:coreProperties>
</file>